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$#,##0"/>
    <numFmt numFmtId="166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color rgb="006C2BD9"/>
      <sz val="18"/>
    </font>
    <font>
      <name val="Arial"/>
      <i val="1"/>
      <color rgb="006E6480"/>
      <sz val="11"/>
    </font>
    <font>
      <name val="Arial"/>
      <b val="1"/>
      <color rgb="006E6480"/>
      <sz val="10"/>
    </font>
    <font>
      <name val="Arial"/>
      <b val="1"/>
      <color rgb="002B1F3D"/>
      <sz val="20"/>
    </font>
    <font>
      <b val="1"/>
      <color rgb="006C2BD9"/>
    </font>
  </fonts>
  <fills count="3">
    <fill>
      <patternFill/>
    </fill>
    <fill>
      <patternFill patternType="gray125"/>
    </fill>
    <fill>
      <patternFill patternType="solid">
        <fgColor rgb="006C2B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49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5" fontId="5" fillId="0" borderId="0" pivotButton="0" quotePrefix="0" xfId="0"/>
    <xf numFmtId="166" fontId="5" fillId="0" borderId="0" pivotButton="0" quotePrefix="0" xfId="0"/>
  </cellXfs>
  <cellStyles count="1">
    <cellStyle name="Normal" xfId="0" builtinId="0" hidden="0"/>
  </cellStyles>
  <dxfs count="6">
    <dxf>
      <font>
        <b val="1"/>
        <color rgb="00000000"/>
      </font>
      <fill>
        <patternFill patternType="solid">
          <fgColor rgb="009AA3B2"/>
        </patternFill>
      </fill>
    </dxf>
    <dxf>
      <font>
        <b val="1"/>
        <color rgb="00000000"/>
      </font>
      <fill>
        <patternFill patternType="solid">
          <fgColor rgb="004FD1F0"/>
        </patternFill>
      </fill>
    </dxf>
    <dxf>
      <font>
        <b val="1"/>
        <color rgb="00FFFFFF"/>
      </font>
      <fill>
        <patternFill patternType="solid">
          <fgColor rgb="00845EF7"/>
        </patternFill>
      </fill>
    </dxf>
    <dxf>
      <font>
        <b val="1"/>
        <color rgb="00000000"/>
      </font>
      <fill>
        <patternFill patternType="solid">
          <fgColor rgb="00F5A623"/>
        </patternFill>
      </fill>
    </dxf>
    <dxf>
      <font>
        <b val="1"/>
        <color rgb="00FFFFFF"/>
      </font>
      <fill>
        <patternFill patternType="solid">
          <fgColor rgb="002BB673"/>
        </patternFill>
      </fill>
    </dxf>
    <dxf>
      <font>
        <b val="1"/>
        <color rgb="00FFFFFF"/>
      </font>
      <fill>
        <patternFill patternType="solid">
          <fgColor rgb="00E5484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Embudo de ventas por estado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'Dashboard'!W2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'Dashboard'!$V$3:$V$8</f>
            </numRef>
          </cat>
          <val>
            <numRef>
              <f>'Dashboard'!$W$3:$W$8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Clientes potenciales por fuente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'Dashboard'!Z2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'Dashboard'!$Y$3:$Y$8</f>
            </numRef>
          </cat>
          <val>
            <numRef>
              <f>'Dashboard'!$Z$3:$Z$8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Clientes potenciales por producto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'Dashboard'!AC2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'Dashboard'!$AB$3:$AB$8</f>
            </numRef>
          </cat>
          <val>
            <numRef>
              <f>'Dashboard'!$AC$3:$AC$8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Nuevos clientes potenciales por mes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'Dashboard'!AF2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'Dashboard'!$AE$3:$AE$8</f>
            </numRef>
          </cat>
          <val>
            <numRef>
              <f>'Dashboard'!$AF$3:$AF$8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6</row>
      <rowOff>0</rowOff>
    </from>
    <ext cx="540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25</row>
      <rowOff>0</rowOff>
    </from>
    <ext cx="540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13</col>
      <colOff>0</colOff>
      <row>25</row>
      <rowOff>0</rowOff>
    </from>
    <ext cx="540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2" customWidth="1" min="3" max="3"/>
    <col width="14" customWidth="1" min="4" max="4"/>
    <col width="18" customWidth="1" min="5" max="5"/>
    <col width="12" customWidth="1" min="6" max="6"/>
    <col width="14" customWidth="1" min="7" max="7"/>
    <col width="12" customWidth="1" min="8" max="8"/>
    <col width="10" customWidth="1" min="9" max="9"/>
    <col width="32" customWidth="1" min="10" max="10"/>
    <col width="16" customWidth="1" min="11" max="11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Cliente</t>
        </is>
      </c>
      <c r="D1" s="1" t="inlineStr">
        <is>
          <t>Telefono</t>
        </is>
      </c>
      <c r="E1" s="1" t="inlineStr">
        <is>
          <t>Producto</t>
        </is>
      </c>
      <c r="F1" s="1" t="inlineStr">
        <is>
          <t>Valor USD</t>
        </is>
      </c>
      <c r="G1" s="1" t="inlineStr">
        <is>
          <t>Estado</t>
        </is>
      </c>
      <c r="H1" s="1" t="inlineStr">
        <is>
          <t>Fuente</t>
        </is>
      </c>
      <c r="I1" s="1" t="inlineStr">
        <is>
          <t>Prioridad</t>
        </is>
      </c>
      <c r="J1" s="1" t="inlineStr">
        <is>
          <t>Notas</t>
        </is>
      </c>
      <c r="K1" s="1" t="inlineStr">
        <is>
          <t>Fecha Seguimiento</t>
        </is>
      </c>
    </row>
    <row r="2">
      <c r="A2" t="n">
        <v>1</v>
      </c>
      <c r="B2" s="2" t="n">
        <v>46194</v>
      </c>
      <c r="C2" t="inlineStr">
        <is>
          <t>David Suárez</t>
        </is>
      </c>
      <c r="D2" s="3" t="inlineStr">
        <is>
          <t>0928728463</t>
        </is>
      </c>
      <c r="E2" t="inlineStr">
        <is>
          <t>Tulipán con Queso</t>
        </is>
      </c>
      <c r="F2" s="4" t="n">
        <v>24</v>
      </c>
      <c r="G2" t="inlineStr">
        <is>
          <t>Nuevo Lead</t>
        </is>
      </c>
      <c r="H2" t="inlineStr">
        <is>
          <t>Google</t>
        </is>
      </c>
      <c r="I2" t="inlineStr">
        <is>
          <t>Alta</t>
        </is>
      </c>
      <c r="J2" t="inlineStr">
        <is>
          <t>Consultó precios</t>
        </is>
      </c>
      <c r="K2" s="2" t="n">
        <v>46199</v>
      </c>
    </row>
    <row r="3">
      <c r="A3" t="n">
        <v>2</v>
      </c>
      <c r="B3" s="2" t="n">
        <v>46193</v>
      </c>
      <c r="C3" t="inlineStr">
        <is>
          <t>Carla Reyes</t>
        </is>
      </c>
      <c r="D3" s="3" t="inlineStr">
        <is>
          <t>0941227216</t>
        </is>
      </c>
      <c r="E3" t="inlineStr">
        <is>
          <t>Helado con Queso</t>
        </is>
      </c>
      <c r="F3" s="4" t="n">
        <v>18</v>
      </c>
      <c r="G3" t="inlineStr">
        <is>
          <t>Propuesta</t>
        </is>
      </c>
      <c r="H3" t="inlineStr">
        <is>
          <t>Referido</t>
        </is>
      </c>
      <c r="I3" t="inlineStr">
        <is>
          <t>Baja</t>
        </is>
      </c>
      <c r="J3" t="inlineStr">
        <is>
          <t>Cotización enviada</t>
        </is>
      </c>
      <c r="K3" s="2" t="n">
        <v>46196</v>
      </c>
    </row>
    <row r="4">
      <c r="A4" t="n">
        <v>3</v>
      </c>
      <c r="B4" s="2" t="n">
        <v>46106</v>
      </c>
      <c r="C4" t="inlineStr">
        <is>
          <t>Kevin Rodríguez</t>
        </is>
      </c>
      <c r="D4" s="3" t="inlineStr">
        <is>
          <t>0939587039</t>
        </is>
      </c>
      <c r="E4" t="inlineStr">
        <is>
          <t>Helado con Queso</t>
        </is>
      </c>
      <c r="F4" s="4" t="n">
        <v>28</v>
      </c>
      <c r="G4" t="inlineStr">
        <is>
          <t>Contactado</t>
        </is>
      </c>
      <c r="H4" t="inlineStr">
        <is>
          <t>WhatsApp</t>
        </is>
      </c>
      <c r="I4" t="inlineStr">
        <is>
          <t>Baja</t>
        </is>
      </c>
      <c r="J4" t="inlineStr">
        <is>
          <t>Se le envió catálogo</t>
        </is>
      </c>
      <c r="K4" s="2" t="n">
        <v>46116</v>
      </c>
    </row>
    <row r="5">
      <c r="A5" t="n">
        <v>4</v>
      </c>
      <c r="B5" s="2" t="n">
        <v>46108</v>
      </c>
      <c r="C5" t="inlineStr">
        <is>
          <t>Patricia González</t>
        </is>
      </c>
      <c r="D5" s="3" t="inlineStr">
        <is>
          <t>0930868105</t>
        </is>
      </c>
      <c r="E5" t="inlineStr">
        <is>
          <t>Waffle</t>
        </is>
      </c>
      <c r="F5" s="4" t="n">
        <v>27</v>
      </c>
      <c r="G5" t="inlineStr">
        <is>
          <t>Contactado</t>
        </is>
      </c>
      <c r="H5" t="inlineStr">
        <is>
          <t>Instagram</t>
        </is>
      </c>
      <c r="I5" t="inlineStr">
        <is>
          <t>Media</t>
        </is>
      </c>
      <c r="J5" t="inlineStr">
        <is>
          <t>Solicitó precios</t>
        </is>
      </c>
      <c r="K5" s="2" t="n">
        <v>46115</v>
      </c>
    </row>
    <row r="6">
      <c r="A6" t="n">
        <v>5</v>
      </c>
      <c r="B6" s="2" t="n">
        <v>46185</v>
      </c>
      <c r="C6" t="inlineStr">
        <is>
          <t>Diego Salazar</t>
        </is>
      </c>
      <c r="D6" s="3" t="inlineStr">
        <is>
          <t>0945503389</t>
        </is>
      </c>
      <c r="E6" t="inlineStr">
        <is>
          <t>Waffle</t>
        </is>
      </c>
      <c r="F6" s="4" t="n">
        <v>26</v>
      </c>
      <c r="G6" t="inlineStr">
        <is>
          <t>Propuesta</t>
        </is>
      </c>
      <c r="H6" t="inlineStr">
        <is>
          <t>Facebook</t>
        </is>
      </c>
      <c r="I6" t="inlineStr">
        <is>
          <t>Baja</t>
        </is>
      </c>
      <c r="J6" t="inlineStr">
        <is>
          <t>Esperando confirmación de pedido</t>
        </is>
      </c>
      <c r="K6" s="2" t="n">
        <v>46192</v>
      </c>
    </row>
    <row r="7">
      <c r="A7" t="n">
        <v>6</v>
      </c>
      <c r="B7" s="2" t="n">
        <v>46079</v>
      </c>
      <c r="C7" t="inlineStr">
        <is>
          <t>Tomás Herrera</t>
        </is>
      </c>
      <c r="D7" s="3" t="inlineStr">
        <is>
          <t>0949349722</t>
        </is>
      </c>
      <c r="E7" t="inlineStr">
        <is>
          <t>Helado con Queso</t>
        </is>
      </c>
      <c r="F7" s="4" t="n">
        <v>24</v>
      </c>
      <c r="G7" t="inlineStr">
        <is>
          <t>Nuevo Lead</t>
        </is>
      </c>
      <c r="H7" t="inlineStr">
        <is>
          <t>Google</t>
        </is>
      </c>
      <c r="I7" t="inlineStr">
        <is>
          <t>Baja</t>
        </is>
      </c>
      <c r="J7" t="inlineStr">
        <is>
          <t>Preguntó por el menú</t>
        </is>
      </c>
      <c r="K7" s="2" t="n">
        <v>46082</v>
      </c>
    </row>
    <row r="8">
      <c r="A8" t="n">
        <v>7</v>
      </c>
      <c r="B8" s="2" t="n">
        <v>46107</v>
      </c>
      <c r="C8" t="inlineStr">
        <is>
          <t>Eduardo Paredes</t>
        </is>
      </c>
      <c r="D8" s="3" t="inlineStr">
        <is>
          <t>0940587988</t>
        </is>
      </c>
      <c r="E8" t="inlineStr">
        <is>
          <t>Helado con Queso</t>
        </is>
      </c>
      <c r="F8" s="4" t="n">
        <v>19</v>
      </c>
      <c r="G8" t="inlineStr">
        <is>
          <t>Contactado</t>
        </is>
      </c>
      <c r="H8" t="inlineStr">
        <is>
          <t>TikTok</t>
        </is>
      </c>
      <c r="I8" t="inlineStr">
        <is>
          <t>Alta</t>
        </is>
      </c>
      <c r="J8" t="inlineStr">
        <is>
          <t>Solicitó precios</t>
        </is>
      </c>
      <c r="K8" s="2" t="n">
        <v>46109</v>
      </c>
    </row>
    <row r="9">
      <c r="A9" t="n">
        <v>8</v>
      </c>
      <c r="B9" s="2" t="n">
        <v>46162</v>
      </c>
      <c r="C9" t="inlineStr">
        <is>
          <t>Juan Tomalá</t>
        </is>
      </c>
      <c r="D9" s="3" t="inlineStr">
        <is>
          <t>0959684848</t>
        </is>
      </c>
      <c r="E9" t="inlineStr">
        <is>
          <t>Waffle</t>
        </is>
      </c>
      <c r="F9" s="4" t="n">
        <v>28</v>
      </c>
      <c r="G9" t="inlineStr">
        <is>
          <t>Propuesta</t>
        </is>
      </c>
      <c r="H9" t="inlineStr">
        <is>
          <t>TikTok</t>
        </is>
      </c>
      <c r="I9" t="inlineStr">
        <is>
          <t>Alta</t>
        </is>
      </c>
      <c r="J9" t="inlineStr">
        <is>
          <t>Esperando confirmación de pedido</t>
        </is>
      </c>
      <c r="K9" s="2" t="n">
        <v>46169</v>
      </c>
    </row>
    <row r="10">
      <c r="A10" t="n">
        <v>9</v>
      </c>
      <c r="B10" s="2" t="n">
        <v>46115</v>
      </c>
      <c r="C10" t="inlineStr">
        <is>
          <t>Diego Salazar</t>
        </is>
      </c>
      <c r="D10" s="3" t="inlineStr">
        <is>
          <t>0995225343</t>
        </is>
      </c>
      <c r="E10" t="inlineStr">
        <is>
          <t>Tulipán con Queso</t>
        </is>
      </c>
      <c r="F10" s="4" t="n">
        <v>21</v>
      </c>
      <c r="G10" t="inlineStr">
        <is>
          <t>Perdido</t>
        </is>
      </c>
      <c r="H10" t="inlineStr">
        <is>
          <t>Instagram</t>
        </is>
      </c>
      <c r="I10" t="inlineStr">
        <is>
          <t>Baja</t>
        </is>
      </c>
      <c r="J10" t="inlineStr">
        <is>
          <t>Precio fuera de presupuesto</t>
        </is>
      </c>
      <c r="K10" s="2" t="n"/>
    </row>
    <row r="11">
      <c r="A11" t="n">
        <v>10</v>
      </c>
      <c r="B11" s="2" t="n">
        <v>46138</v>
      </c>
      <c r="C11" t="inlineStr">
        <is>
          <t>Valentina Gómez</t>
        </is>
      </c>
      <c r="D11" s="3" t="inlineStr">
        <is>
          <t>0995899313</t>
        </is>
      </c>
      <c r="E11" t="inlineStr">
        <is>
          <t>Banana Split</t>
        </is>
      </c>
      <c r="F11" s="4" t="n">
        <v>20</v>
      </c>
      <c r="G11" t="inlineStr">
        <is>
          <t>Contactado</t>
        </is>
      </c>
      <c r="H11" t="inlineStr">
        <is>
          <t>Google</t>
        </is>
      </c>
      <c r="I11" t="inlineStr">
        <is>
          <t>Baja</t>
        </is>
      </c>
      <c r="J11" t="inlineStr">
        <is>
          <t>Solicitó precios</t>
        </is>
      </c>
      <c r="K11" s="2" t="n">
        <v>46144</v>
      </c>
    </row>
    <row r="12">
      <c r="A12" t="n">
        <v>11</v>
      </c>
      <c r="B12" s="2" t="n">
        <v>46090</v>
      </c>
      <c r="C12" t="inlineStr">
        <is>
          <t>Iván Cabrera</t>
        </is>
      </c>
      <c r="D12" s="3" t="inlineStr">
        <is>
          <t>0914308421</t>
        </is>
      </c>
      <c r="E12" t="inlineStr">
        <is>
          <t>Tulipán con Queso</t>
        </is>
      </c>
      <c r="F12" s="4" t="n">
        <v>20</v>
      </c>
      <c r="G12" t="inlineStr">
        <is>
          <t>Interesado</t>
        </is>
      </c>
      <c r="H12" t="inlineStr">
        <is>
          <t>TikTok</t>
        </is>
      </c>
      <c r="I12" t="inlineStr">
        <is>
          <t>Media</t>
        </is>
      </c>
      <c r="J12" t="inlineStr">
        <is>
          <t>Pidió muestra</t>
        </is>
      </c>
      <c r="K12" s="2" t="n">
        <v>46095</v>
      </c>
    </row>
    <row r="13">
      <c r="A13" t="n">
        <v>12</v>
      </c>
      <c r="B13" s="2" t="n">
        <v>46081</v>
      </c>
      <c r="C13" t="inlineStr">
        <is>
          <t>Carla Reyes</t>
        </is>
      </c>
      <c r="D13" s="3" t="inlineStr">
        <is>
          <t>0997971488</t>
        </is>
      </c>
      <c r="E13" t="inlineStr">
        <is>
          <t>Waffle</t>
        </is>
      </c>
      <c r="F13" s="4" t="n">
        <v>30</v>
      </c>
      <c r="G13" t="inlineStr">
        <is>
          <t>Contactado</t>
        </is>
      </c>
      <c r="H13" t="inlineStr">
        <is>
          <t>WhatsApp</t>
        </is>
      </c>
      <c r="I13" t="inlineStr">
        <is>
          <t>Media</t>
        </is>
      </c>
      <c r="J13" t="inlineStr">
        <is>
          <t>Llamada de seguimiento realizada</t>
        </is>
      </c>
      <c r="K13" s="2" t="n">
        <v>46088</v>
      </c>
    </row>
    <row r="14">
      <c r="A14" t="n">
        <v>13</v>
      </c>
      <c r="B14" s="2" t="n">
        <v>46164</v>
      </c>
      <c r="C14" t="inlineStr">
        <is>
          <t>Mateo Bravo</t>
        </is>
      </c>
      <c r="D14" s="3" t="inlineStr">
        <is>
          <t>0985345555</t>
        </is>
      </c>
      <c r="E14" t="inlineStr">
        <is>
          <t>Sundae</t>
        </is>
      </c>
      <c r="F14" s="4" t="n">
        <v>13</v>
      </c>
      <c r="G14" t="inlineStr">
        <is>
          <t>Contactado</t>
        </is>
      </c>
      <c r="H14" t="inlineStr">
        <is>
          <t>Referido</t>
        </is>
      </c>
      <c r="I14" t="inlineStr">
        <is>
          <t>Media</t>
        </is>
      </c>
      <c r="J14" t="inlineStr">
        <is>
          <t>Llamada de seguimiento realizada</t>
        </is>
      </c>
      <c r="K14" s="2" t="n">
        <v>46169</v>
      </c>
    </row>
    <row r="15">
      <c r="A15" t="n">
        <v>14</v>
      </c>
      <c r="B15" s="2" t="n">
        <v>46083</v>
      </c>
      <c r="C15" t="inlineStr">
        <is>
          <t>Roberto Castillo</t>
        </is>
      </c>
      <c r="D15" s="3" t="inlineStr">
        <is>
          <t>0939436733</t>
        </is>
      </c>
      <c r="E15" t="inlineStr">
        <is>
          <t>Helado con Queso</t>
        </is>
      </c>
      <c r="F15" s="4" t="n">
        <v>27</v>
      </c>
      <c r="G15" t="inlineStr">
        <is>
          <t>Propuesta</t>
        </is>
      </c>
      <c r="H15" t="inlineStr">
        <is>
          <t>Instagram</t>
        </is>
      </c>
      <c r="I15" t="inlineStr">
        <is>
          <t>Baja</t>
        </is>
      </c>
      <c r="J15" t="inlineStr">
        <is>
          <t>Esperando confirmación de pedido</t>
        </is>
      </c>
      <c r="K15" s="2" t="n">
        <v>46091</v>
      </c>
    </row>
    <row r="16">
      <c r="A16" t="n">
        <v>15</v>
      </c>
      <c r="B16" s="2" t="n">
        <v>46087</v>
      </c>
      <c r="C16" t="inlineStr">
        <is>
          <t>Natalia Cordero</t>
        </is>
      </c>
      <c r="D16" s="3" t="inlineStr">
        <is>
          <t>0931472420</t>
        </is>
      </c>
      <c r="E16" t="inlineStr">
        <is>
          <t>Waffle</t>
        </is>
      </c>
      <c r="F16" s="4" t="n">
        <v>22</v>
      </c>
      <c r="G16" t="inlineStr">
        <is>
          <t>Nuevo Lead</t>
        </is>
      </c>
      <c r="H16" t="inlineStr">
        <is>
          <t>Google</t>
        </is>
      </c>
      <c r="I16" t="inlineStr">
        <is>
          <t>Media</t>
        </is>
      </c>
      <c r="J16" t="inlineStr">
        <is>
          <t>Consultó precios</t>
        </is>
      </c>
      <c r="K16" s="2" t="n">
        <v>46091</v>
      </c>
    </row>
    <row r="17">
      <c r="A17" t="n">
        <v>16</v>
      </c>
      <c r="B17" s="2" t="n">
        <v>46121</v>
      </c>
      <c r="C17" t="inlineStr">
        <is>
          <t>Patricia González</t>
        </is>
      </c>
      <c r="D17" s="3" t="inlineStr">
        <is>
          <t>0984252722</t>
        </is>
      </c>
      <c r="E17" t="inlineStr">
        <is>
          <t>Sundae</t>
        </is>
      </c>
      <c r="F17" s="4" t="n">
        <v>18</v>
      </c>
      <c r="G17" t="inlineStr">
        <is>
          <t>Propuesta</t>
        </is>
      </c>
      <c r="H17" t="inlineStr">
        <is>
          <t>Facebook</t>
        </is>
      </c>
      <c r="I17" t="inlineStr">
        <is>
          <t>Baja</t>
        </is>
      </c>
      <c r="J17" t="inlineStr">
        <is>
          <t>Cotización enviada</t>
        </is>
      </c>
      <c r="K17" s="2" t="n">
        <v>46131</v>
      </c>
    </row>
    <row r="18">
      <c r="A18" t="n">
        <v>17</v>
      </c>
      <c r="B18" s="2" t="n">
        <v>46101</v>
      </c>
      <c r="C18" t="inlineStr">
        <is>
          <t>Joaquín Reyes</t>
        </is>
      </c>
      <c r="D18" s="3" t="inlineStr">
        <is>
          <t>0996028436</t>
        </is>
      </c>
      <c r="E18" t="inlineStr">
        <is>
          <t>Tulipán con Queso</t>
        </is>
      </c>
      <c r="F18" s="4" t="n">
        <v>24</v>
      </c>
      <c r="G18" t="inlineStr">
        <is>
          <t>Ganado</t>
        </is>
      </c>
      <c r="H18" t="inlineStr">
        <is>
          <t>TikTok</t>
        </is>
      </c>
      <c r="I18" t="inlineStr">
        <is>
          <t>Alta</t>
        </is>
      </c>
      <c r="J18" t="inlineStr">
        <is>
          <t>Pedido entregado</t>
        </is>
      </c>
      <c r="K18" s="2" t="n"/>
    </row>
    <row r="19">
      <c r="A19" t="n">
        <v>18</v>
      </c>
      <c r="B19" s="2" t="n">
        <v>46139</v>
      </c>
      <c r="C19" t="inlineStr">
        <is>
          <t>Isabel Navarro</t>
        </is>
      </c>
      <c r="D19" s="3" t="inlineStr">
        <is>
          <t>0933978249</t>
        </is>
      </c>
      <c r="E19" t="inlineStr">
        <is>
          <t>Sundae</t>
        </is>
      </c>
      <c r="F19" s="4" t="n">
        <v>11</v>
      </c>
      <c r="G19" t="inlineStr">
        <is>
          <t>Contactado</t>
        </is>
      </c>
      <c r="H19" t="inlineStr">
        <is>
          <t>Referido</t>
        </is>
      </c>
      <c r="I19" t="inlineStr">
        <is>
          <t>Alta</t>
        </is>
      </c>
      <c r="J19" t="inlineStr">
        <is>
          <t>Llamada de seguimiento realizada</t>
        </is>
      </c>
      <c r="K19" s="2" t="n">
        <v>46145</v>
      </c>
    </row>
    <row r="20">
      <c r="A20" t="n">
        <v>19</v>
      </c>
      <c r="B20" s="2" t="n">
        <v>46133</v>
      </c>
      <c r="C20" t="inlineStr">
        <is>
          <t>Carla Reyes</t>
        </is>
      </c>
      <c r="D20" s="3" t="inlineStr">
        <is>
          <t>0930513739</t>
        </is>
      </c>
      <c r="E20" t="inlineStr">
        <is>
          <t>Helado Soft</t>
        </is>
      </c>
      <c r="F20" s="4" t="n">
        <v>25</v>
      </c>
      <c r="G20" t="inlineStr">
        <is>
          <t>Perdido</t>
        </is>
      </c>
      <c r="H20" t="inlineStr">
        <is>
          <t>TikTok</t>
        </is>
      </c>
      <c r="I20" t="inlineStr">
        <is>
          <t>Alta</t>
        </is>
      </c>
      <c r="J20" t="inlineStr">
        <is>
          <t>Precio fuera de presupuesto</t>
        </is>
      </c>
      <c r="K20" s="2" t="n"/>
    </row>
    <row r="21">
      <c r="A21" t="n">
        <v>20</v>
      </c>
      <c r="B21" s="2" t="n">
        <v>46121</v>
      </c>
      <c r="C21" t="inlineStr">
        <is>
          <t>María López</t>
        </is>
      </c>
      <c r="D21" s="3" t="inlineStr">
        <is>
          <t>0925014631</t>
        </is>
      </c>
      <c r="E21" t="inlineStr">
        <is>
          <t>Helado con Queso</t>
        </is>
      </c>
      <c r="F21" s="4" t="n">
        <v>23</v>
      </c>
      <c r="G21" t="inlineStr">
        <is>
          <t>Nuevo Lead</t>
        </is>
      </c>
      <c r="H21" t="inlineStr">
        <is>
          <t>TikTok</t>
        </is>
      </c>
      <c r="I21" t="inlineStr">
        <is>
          <t>Media</t>
        </is>
      </c>
      <c r="J21" t="inlineStr">
        <is>
          <t>Primera consulta</t>
        </is>
      </c>
      <c r="K21" s="2" t="n">
        <v>46130</v>
      </c>
    </row>
    <row r="22">
      <c r="A22" t="n">
        <v>21</v>
      </c>
      <c r="B22" s="2" t="n">
        <v>46085</v>
      </c>
      <c r="C22" t="inlineStr">
        <is>
          <t>Andrea Torres</t>
        </is>
      </c>
      <c r="D22" s="3" t="inlineStr">
        <is>
          <t>0975228535</t>
        </is>
      </c>
      <c r="E22" t="inlineStr">
        <is>
          <t>Waffle</t>
        </is>
      </c>
      <c r="F22" s="4" t="n">
        <v>30</v>
      </c>
      <c r="G22" t="inlineStr">
        <is>
          <t>Contactado</t>
        </is>
      </c>
      <c r="H22" t="inlineStr">
        <is>
          <t>Facebook</t>
        </is>
      </c>
      <c r="I22" t="inlineStr">
        <is>
          <t>Baja</t>
        </is>
      </c>
      <c r="J22" t="inlineStr">
        <is>
          <t>Solicitó precios</t>
        </is>
      </c>
      <c r="K22" s="2" t="n">
        <v>46088</v>
      </c>
    </row>
    <row r="23">
      <c r="A23" t="n">
        <v>22</v>
      </c>
      <c r="B23" s="2" t="n">
        <v>46137</v>
      </c>
      <c r="C23" t="inlineStr">
        <is>
          <t>Juan Tomalá</t>
        </is>
      </c>
      <c r="D23" s="3" t="inlineStr">
        <is>
          <t>0945575298</t>
        </is>
      </c>
      <c r="E23" t="inlineStr">
        <is>
          <t>Banana Split</t>
        </is>
      </c>
      <c r="F23" s="4" t="n">
        <v>22</v>
      </c>
      <c r="G23" t="inlineStr">
        <is>
          <t>Perdido</t>
        </is>
      </c>
      <c r="H23" t="inlineStr">
        <is>
          <t>Referido</t>
        </is>
      </c>
      <c r="I23" t="inlineStr">
        <is>
          <t>Baja</t>
        </is>
      </c>
      <c r="J23" t="inlineStr">
        <is>
          <t>Eligió otra opción</t>
        </is>
      </c>
      <c r="K23" s="2" t="n"/>
    </row>
    <row r="24">
      <c r="A24" t="n">
        <v>23</v>
      </c>
      <c r="B24" s="2" t="n">
        <v>46101</v>
      </c>
      <c r="C24" t="inlineStr">
        <is>
          <t>Lucía Fonseca</t>
        </is>
      </c>
      <c r="D24" s="3" t="inlineStr">
        <is>
          <t>0951837852</t>
        </is>
      </c>
      <c r="E24" t="inlineStr">
        <is>
          <t>Banana Split</t>
        </is>
      </c>
      <c r="F24" s="4" t="n">
        <v>17</v>
      </c>
      <c r="G24" t="inlineStr">
        <is>
          <t>Ganado</t>
        </is>
      </c>
      <c r="H24" t="inlineStr">
        <is>
          <t>WhatsApp</t>
        </is>
      </c>
      <c r="I24" t="inlineStr">
        <is>
          <t>Baja</t>
        </is>
      </c>
      <c r="J24" t="inlineStr">
        <is>
          <t>Cliente satisfecho</t>
        </is>
      </c>
      <c r="K24" s="2" t="n"/>
    </row>
    <row r="25">
      <c r="A25" t="n">
        <v>24</v>
      </c>
      <c r="B25" s="2" t="n">
        <v>46082</v>
      </c>
      <c r="C25" t="inlineStr">
        <is>
          <t>Luis Vera</t>
        </is>
      </c>
      <c r="D25" s="3" t="inlineStr">
        <is>
          <t>0943273328</t>
        </is>
      </c>
      <c r="E25" t="inlineStr">
        <is>
          <t>Helado Soft</t>
        </is>
      </c>
      <c r="F25" s="4" t="n">
        <v>24</v>
      </c>
      <c r="G25" t="inlineStr">
        <is>
          <t>Propuesta</t>
        </is>
      </c>
      <c r="H25" t="inlineStr">
        <is>
          <t>Instagram</t>
        </is>
      </c>
      <c r="I25" t="inlineStr">
        <is>
          <t>Alta</t>
        </is>
      </c>
      <c r="J25" t="inlineStr">
        <is>
          <t>Esperando confirmación de pedido</t>
        </is>
      </c>
      <c r="K25" s="2" t="n">
        <v>46091</v>
      </c>
    </row>
    <row r="26">
      <c r="A26" t="n">
        <v>25</v>
      </c>
      <c r="B26" s="2" t="n">
        <v>46127</v>
      </c>
      <c r="C26" t="inlineStr">
        <is>
          <t>Camila Vargas</t>
        </is>
      </c>
      <c r="D26" s="3" t="inlineStr">
        <is>
          <t>0939557077</t>
        </is>
      </c>
      <c r="E26" t="inlineStr">
        <is>
          <t>Waffle</t>
        </is>
      </c>
      <c r="F26" s="4" t="n">
        <v>24</v>
      </c>
      <c r="G26" t="inlineStr">
        <is>
          <t>Ganado</t>
        </is>
      </c>
      <c r="H26" t="inlineStr">
        <is>
          <t>Facebook</t>
        </is>
      </c>
      <c r="I26" t="inlineStr">
        <is>
          <t>Alta</t>
        </is>
      </c>
      <c r="J26" t="inlineStr">
        <is>
          <t>Cliente satisfecho</t>
        </is>
      </c>
      <c r="K26" s="2" t="n"/>
    </row>
    <row r="27">
      <c r="A27" t="n">
        <v>26</v>
      </c>
      <c r="B27" s="2" t="n">
        <v>46168</v>
      </c>
      <c r="C27" t="inlineStr">
        <is>
          <t>Gabriela Ortiz</t>
        </is>
      </c>
      <c r="D27" s="3" t="inlineStr">
        <is>
          <t>0954349361</t>
        </is>
      </c>
      <c r="E27" t="inlineStr">
        <is>
          <t>Tulipán con Queso</t>
        </is>
      </c>
      <c r="F27" s="4" t="n">
        <v>21</v>
      </c>
      <c r="G27" t="inlineStr">
        <is>
          <t>Nuevo Lead</t>
        </is>
      </c>
      <c r="H27" t="inlineStr">
        <is>
          <t>Facebook</t>
        </is>
      </c>
      <c r="I27" t="inlineStr">
        <is>
          <t>Baja</t>
        </is>
      </c>
      <c r="J27" t="inlineStr">
        <is>
          <t>Primera consulta</t>
        </is>
      </c>
      <c r="K27" s="2" t="n">
        <v>46170</v>
      </c>
    </row>
    <row r="28">
      <c r="A28" t="n">
        <v>27</v>
      </c>
      <c r="B28" s="2" t="n">
        <v>46135</v>
      </c>
      <c r="C28" t="inlineStr">
        <is>
          <t>Tomás Herrera</t>
        </is>
      </c>
      <c r="D28" s="3" t="inlineStr">
        <is>
          <t>0927758595</t>
        </is>
      </c>
      <c r="E28" t="inlineStr">
        <is>
          <t>Helado Soft</t>
        </is>
      </c>
      <c r="F28" s="4" t="n">
        <v>19</v>
      </c>
      <c r="G28" t="inlineStr">
        <is>
          <t>Perdido</t>
        </is>
      </c>
      <c r="H28" t="inlineStr">
        <is>
          <t>Google</t>
        </is>
      </c>
      <c r="I28" t="inlineStr">
        <is>
          <t>Baja</t>
        </is>
      </c>
      <c r="J28" t="inlineStr">
        <is>
          <t>Precio fuera de presupuesto</t>
        </is>
      </c>
      <c r="K28" s="2" t="n"/>
    </row>
    <row r="29">
      <c r="A29" t="n">
        <v>28</v>
      </c>
      <c r="B29" s="2" t="n">
        <v>46097</v>
      </c>
      <c r="C29" t="inlineStr">
        <is>
          <t>Carla Reyes</t>
        </is>
      </c>
      <c r="D29" s="3" t="inlineStr">
        <is>
          <t>0922660194</t>
        </is>
      </c>
      <c r="E29" t="inlineStr">
        <is>
          <t>Sundae</t>
        </is>
      </c>
      <c r="F29" s="4" t="n">
        <v>18</v>
      </c>
      <c r="G29" t="inlineStr">
        <is>
          <t>Contactado</t>
        </is>
      </c>
      <c r="H29" t="inlineStr">
        <is>
          <t>Facebook</t>
        </is>
      </c>
      <c r="I29" t="inlineStr">
        <is>
          <t>Baja</t>
        </is>
      </c>
      <c r="J29" t="inlineStr">
        <is>
          <t>Se le envió catálogo</t>
        </is>
      </c>
      <c r="K29" s="2" t="n">
        <v>46105</v>
      </c>
    </row>
    <row r="30">
      <c r="A30" t="n">
        <v>29</v>
      </c>
      <c r="B30" s="2" t="n">
        <v>46145</v>
      </c>
      <c r="C30" t="inlineStr">
        <is>
          <t>Eduardo Paredes</t>
        </is>
      </c>
      <c r="D30" s="3" t="inlineStr">
        <is>
          <t>0997705310</t>
        </is>
      </c>
      <c r="E30" t="inlineStr">
        <is>
          <t>Helado Soft</t>
        </is>
      </c>
      <c r="F30" s="4" t="n">
        <v>23</v>
      </c>
      <c r="G30" t="inlineStr">
        <is>
          <t>Propuesta</t>
        </is>
      </c>
      <c r="H30" t="inlineStr">
        <is>
          <t>Google</t>
        </is>
      </c>
      <c r="I30" t="inlineStr">
        <is>
          <t>Alta</t>
        </is>
      </c>
      <c r="J30" t="inlineStr">
        <is>
          <t>Cotización enviada</t>
        </is>
      </c>
      <c r="K30" s="2" t="n">
        <v>46147</v>
      </c>
    </row>
    <row r="31">
      <c r="A31" t="n">
        <v>30</v>
      </c>
      <c r="B31" s="2" t="n">
        <v>46154</v>
      </c>
      <c r="C31" t="inlineStr">
        <is>
          <t>David Suárez</t>
        </is>
      </c>
      <c r="D31" s="3" t="inlineStr">
        <is>
          <t>0935714784</t>
        </is>
      </c>
      <c r="E31" t="inlineStr">
        <is>
          <t>Sundae</t>
        </is>
      </c>
      <c r="F31" s="4" t="n">
        <v>12</v>
      </c>
      <c r="G31" t="inlineStr">
        <is>
          <t>Perdido</t>
        </is>
      </c>
      <c r="H31" t="inlineStr">
        <is>
          <t>Instagram</t>
        </is>
      </c>
      <c r="I31" t="inlineStr">
        <is>
          <t>Baja</t>
        </is>
      </c>
      <c r="J31" t="inlineStr">
        <is>
          <t>Eligió otra opción</t>
        </is>
      </c>
      <c r="K31" s="2" t="n"/>
    </row>
    <row r="32">
      <c r="A32" t="n">
        <v>31</v>
      </c>
      <c r="B32" s="2" t="n">
        <v>46174</v>
      </c>
      <c r="C32" t="inlineStr">
        <is>
          <t>David Suárez</t>
        </is>
      </c>
      <c r="D32" s="3" t="inlineStr">
        <is>
          <t>0920117988</t>
        </is>
      </c>
      <c r="E32" t="inlineStr">
        <is>
          <t>Banana Split</t>
        </is>
      </c>
      <c r="F32" s="4" t="n">
        <v>18</v>
      </c>
      <c r="G32" t="inlineStr">
        <is>
          <t>Propuesta</t>
        </is>
      </c>
      <c r="H32" t="inlineStr">
        <is>
          <t>WhatsApp</t>
        </is>
      </c>
      <c r="I32" t="inlineStr">
        <is>
          <t>Baja</t>
        </is>
      </c>
      <c r="J32" t="inlineStr">
        <is>
          <t>Cotización enviada</t>
        </is>
      </c>
      <c r="K32" s="2" t="n">
        <v>46183</v>
      </c>
    </row>
    <row r="33">
      <c r="A33" t="n">
        <v>32</v>
      </c>
      <c r="B33" s="2" t="n">
        <v>46128</v>
      </c>
      <c r="C33" t="inlineStr">
        <is>
          <t>Andrea Torres</t>
        </is>
      </c>
      <c r="D33" s="3" t="inlineStr">
        <is>
          <t>0941726318</t>
        </is>
      </c>
      <c r="E33" t="inlineStr">
        <is>
          <t>Waffle</t>
        </is>
      </c>
      <c r="F33" s="4" t="n">
        <v>21</v>
      </c>
      <c r="G33" t="inlineStr">
        <is>
          <t>Perdido</t>
        </is>
      </c>
      <c r="H33" t="inlineStr">
        <is>
          <t>Instagram</t>
        </is>
      </c>
      <c r="I33" t="inlineStr">
        <is>
          <t>Media</t>
        </is>
      </c>
      <c r="J33" t="inlineStr">
        <is>
          <t>Eligió otra opción</t>
        </is>
      </c>
      <c r="K33" s="2" t="n"/>
    </row>
    <row r="34">
      <c r="A34" t="n">
        <v>33</v>
      </c>
      <c r="B34" s="2" t="n">
        <v>46087</v>
      </c>
      <c r="C34" t="inlineStr">
        <is>
          <t>Juan Tomalá</t>
        </is>
      </c>
      <c r="D34" s="3" t="inlineStr">
        <is>
          <t>0960864911</t>
        </is>
      </c>
      <c r="E34" t="inlineStr">
        <is>
          <t>Sundae</t>
        </is>
      </c>
      <c r="F34" s="4" t="n">
        <v>17</v>
      </c>
      <c r="G34" t="inlineStr">
        <is>
          <t>Contactado</t>
        </is>
      </c>
      <c r="H34" t="inlineStr">
        <is>
          <t>Facebook</t>
        </is>
      </c>
      <c r="I34" t="inlineStr">
        <is>
          <t>Media</t>
        </is>
      </c>
      <c r="J34" t="inlineStr">
        <is>
          <t>Se le envió catálogo</t>
        </is>
      </c>
      <c r="K34" s="2" t="n">
        <v>46089</v>
      </c>
    </row>
    <row r="35">
      <c r="A35" t="n">
        <v>34</v>
      </c>
      <c r="B35" s="2" t="n">
        <v>46143</v>
      </c>
      <c r="C35" t="inlineStr">
        <is>
          <t>María Zambrano</t>
        </is>
      </c>
      <c r="D35" s="3" t="inlineStr">
        <is>
          <t>0935487660</t>
        </is>
      </c>
      <c r="E35" t="inlineStr">
        <is>
          <t>Sundae</t>
        </is>
      </c>
      <c r="F35" s="4" t="n">
        <v>19</v>
      </c>
      <c r="G35" t="inlineStr">
        <is>
          <t>Interesado</t>
        </is>
      </c>
      <c r="H35" t="inlineStr">
        <is>
          <t>TikTok</t>
        </is>
      </c>
      <c r="I35" t="inlineStr">
        <is>
          <t>Alta</t>
        </is>
      </c>
      <c r="J35" t="inlineStr">
        <is>
          <t>Interesado en promoción</t>
        </is>
      </c>
      <c r="K35" s="2" t="n">
        <v>46152</v>
      </c>
    </row>
    <row r="36">
      <c r="A36" t="n">
        <v>35</v>
      </c>
      <c r="B36" s="2" t="n">
        <v>46128</v>
      </c>
      <c r="C36" t="inlineStr">
        <is>
          <t>Mateo Bravo</t>
        </is>
      </c>
      <c r="D36" s="3" t="inlineStr">
        <is>
          <t>0952091325</t>
        </is>
      </c>
      <c r="E36" t="inlineStr">
        <is>
          <t>Helado con Queso</t>
        </is>
      </c>
      <c r="F36" s="4" t="n">
        <v>18</v>
      </c>
      <c r="G36" t="inlineStr">
        <is>
          <t>Perdido</t>
        </is>
      </c>
      <c r="H36" t="inlineStr">
        <is>
          <t>Facebook</t>
        </is>
      </c>
      <c r="I36" t="inlineStr">
        <is>
          <t>Alta</t>
        </is>
      </c>
      <c r="J36" t="inlineStr">
        <is>
          <t>Precio fuera de presupuesto</t>
        </is>
      </c>
      <c r="K36" s="2" t="n"/>
    </row>
    <row r="37">
      <c r="A37" t="n">
        <v>36</v>
      </c>
      <c r="B37" s="2" t="n">
        <v>46080</v>
      </c>
      <c r="C37" t="inlineStr">
        <is>
          <t>Juan Tomalá</t>
        </is>
      </c>
      <c r="D37" s="3" t="inlineStr">
        <is>
          <t>0917634247</t>
        </is>
      </c>
      <c r="E37" t="inlineStr">
        <is>
          <t>Sundae</t>
        </is>
      </c>
      <c r="F37" s="4" t="n">
        <v>19</v>
      </c>
      <c r="G37" t="inlineStr">
        <is>
          <t>Ganado</t>
        </is>
      </c>
      <c r="H37" t="inlineStr">
        <is>
          <t>Referido</t>
        </is>
      </c>
      <c r="I37" t="inlineStr">
        <is>
          <t>Alta</t>
        </is>
      </c>
      <c r="J37" t="inlineStr">
        <is>
          <t>Compra realizada</t>
        </is>
      </c>
      <c r="K37" s="2" t="n"/>
    </row>
    <row r="38">
      <c r="A38" t="n">
        <v>37</v>
      </c>
      <c r="B38" s="2" t="n">
        <v>46189</v>
      </c>
      <c r="C38" t="inlineStr">
        <is>
          <t>Gabriela Ortiz</t>
        </is>
      </c>
      <c r="D38" s="3" t="inlineStr">
        <is>
          <t>0941568532</t>
        </is>
      </c>
      <c r="E38" t="inlineStr">
        <is>
          <t>Waffle</t>
        </is>
      </c>
      <c r="F38" s="4" t="n">
        <v>31</v>
      </c>
      <c r="G38" t="inlineStr">
        <is>
          <t>Ganado</t>
        </is>
      </c>
      <c r="H38" t="inlineStr">
        <is>
          <t>WhatsApp</t>
        </is>
      </c>
      <c r="I38" t="inlineStr">
        <is>
          <t>Alta</t>
        </is>
      </c>
      <c r="J38" t="inlineStr">
        <is>
          <t>Cliente satisfecho</t>
        </is>
      </c>
      <c r="K38" s="2" t="n"/>
    </row>
    <row r="39">
      <c r="A39" t="n">
        <v>38</v>
      </c>
      <c r="B39" s="2" t="n">
        <v>46121</v>
      </c>
      <c r="C39" t="inlineStr">
        <is>
          <t>Diego Salazar</t>
        </is>
      </c>
      <c r="D39" s="3" t="inlineStr">
        <is>
          <t>0921003626</t>
        </is>
      </c>
      <c r="E39" t="inlineStr">
        <is>
          <t>Banana Split</t>
        </is>
      </c>
      <c r="F39" s="4" t="n">
        <v>14</v>
      </c>
      <c r="G39" t="inlineStr">
        <is>
          <t>Ganado</t>
        </is>
      </c>
      <c r="H39" t="inlineStr">
        <is>
          <t>WhatsApp</t>
        </is>
      </c>
      <c r="I39" t="inlineStr">
        <is>
          <t>Baja</t>
        </is>
      </c>
      <c r="J39" t="inlineStr">
        <is>
          <t>Cliente satisfecho</t>
        </is>
      </c>
      <c r="K39" s="2" t="n"/>
    </row>
    <row r="40">
      <c r="A40" t="n">
        <v>39</v>
      </c>
      <c r="B40" s="2" t="n">
        <v>46157</v>
      </c>
      <c r="C40" t="inlineStr">
        <is>
          <t>Carla Reyes</t>
        </is>
      </c>
      <c r="D40" s="3" t="inlineStr">
        <is>
          <t>0999889098</t>
        </is>
      </c>
      <c r="E40" t="inlineStr">
        <is>
          <t>Helado con Queso</t>
        </is>
      </c>
      <c r="F40" s="4" t="n">
        <v>22</v>
      </c>
      <c r="G40" t="inlineStr">
        <is>
          <t>Ganado</t>
        </is>
      </c>
      <c r="H40" t="inlineStr">
        <is>
          <t>Google</t>
        </is>
      </c>
      <c r="I40" t="inlineStr">
        <is>
          <t>Media</t>
        </is>
      </c>
      <c r="J40" t="inlineStr">
        <is>
          <t>Compra realizada</t>
        </is>
      </c>
      <c r="K40" s="2" t="n"/>
    </row>
    <row r="41">
      <c r="A41" t="n">
        <v>40</v>
      </c>
      <c r="B41" s="2" t="n">
        <v>46181</v>
      </c>
      <c r="C41" t="inlineStr">
        <is>
          <t>Daniela Cedeño</t>
        </is>
      </c>
      <c r="D41" s="3" t="inlineStr">
        <is>
          <t>0952436584</t>
        </is>
      </c>
      <c r="E41" t="inlineStr">
        <is>
          <t>Helado Soft</t>
        </is>
      </c>
      <c r="F41" s="4" t="n">
        <v>26</v>
      </c>
      <c r="G41" t="inlineStr">
        <is>
          <t>Propuesta</t>
        </is>
      </c>
      <c r="H41" t="inlineStr">
        <is>
          <t>Facebook</t>
        </is>
      </c>
      <c r="I41" t="inlineStr">
        <is>
          <t>Alta</t>
        </is>
      </c>
      <c r="J41" t="inlineStr">
        <is>
          <t>Esperando confirmación de pedido</t>
        </is>
      </c>
      <c r="K41" s="2" t="n">
        <v>46187</v>
      </c>
    </row>
    <row r="42">
      <c r="A42" t="n">
        <v>41</v>
      </c>
      <c r="B42" s="2" t="n">
        <v>46185</v>
      </c>
      <c r="C42" t="inlineStr">
        <is>
          <t>Tomás Herrera</t>
        </is>
      </c>
      <c r="D42" s="3" t="inlineStr">
        <is>
          <t>0938609087</t>
        </is>
      </c>
      <c r="E42" t="inlineStr">
        <is>
          <t>Helado con Queso</t>
        </is>
      </c>
      <c r="F42" s="4" t="n">
        <v>19</v>
      </c>
      <c r="G42" t="inlineStr">
        <is>
          <t>Ganado</t>
        </is>
      </c>
      <c r="H42" t="inlineStr">
        <is>
          <t>Referido</t>
        </is>
      </c>
      <c r="I42" t="inlineStr">
        <is>
          <t>Media</t>
        </is>
      </c>
      <c r="J42" t="inlineStr">
        <is>
          <t>Compra realizada</t>
        </is>
      </c>
      <c r="K42" s="2" t="n"/>
    </row>
    <row r="43">
      <c r="A43" t="n">
        <v>42</v>
      </c>
      <c r="B43" s="2" t="n">
        <v>46085</v>
      </c>
      <c r="C43" t="inlineStr">
        <is>
          <t>Jorge Mendoza</t>
        </is>
      </c>
      <c r="D43" s="3" t="inlineStr">
        <is>
          <t>0931172421</t>
        </is>
      </c>
      <c r="E43" t="inlineStr">
        <is>
          <t>Helado Soft</t>
        </is>
      </c>
      <c r="F43" s="4" t="n">
        <v>19</v>
      </c>
      <c r="G43" t="inlineStr">
        <is>
          <t>Nuevo Lead</t>
        </is>
      </c>
      <c r="H43" t="inlineStr">
        <is>
          <t>WhatsApp</t>
        </is>
      </c>
      <c r="I43" t="inlineStr">
        <is>
          <t>Baja</t>
        </is>
      </c>
      <c r="J43" t="inlineStr">
        <is>
          <t>Preguntó por el menú</t>
        </is>
      </c>
      <c r="K43" s="2" t="n">
        <v>46092</v>
      </c>
    </row>
    <row r="44">
      <c r="A44" t="n">
        <v>43</v>
      </c>
      <c r="B44" s="2" t="n">
        <v>46130</v>
      </c>
      <c r="C44" t="inlineStr">
        <is>
          <t>Eduardo Paredes</t>
        </is>
      </c>
      <c r="D44" s="3" t="inlineStr">
        <is>
          <t>0984437458</t>
        </is>
      </c>
      <c r="E44" t="inlineStr">
        <is>
          <t>Helado con Queso</t>
        </is>
      </c>
      <c r="F44" s="4" t="n">
        <v>18</v>
      </c>
      <c r="G44" t="inlineStr">
        <is>
          <t>Perdido</t>
        </is>
      </c>
      <c r="H44" t="inlineStr">
        <is>
          <t>TikTok</t>
        </is>
      </c>
      <c r="I44" t="inlineStr">
        <is>
          <t>Baja</t>
        </is>
      </c>
      <c r="J44" t="inlineStr">
        <is>
          <t>No respondió</t>
        </is>
      </c>
      <c r="K44" s="2" t="n"/>
    </row>
    <row r="45">
      <c r="A45" t="n">
        <v>44</v>
      </c>
      <c r="B45" s="2" t="n">
        <v>46183</v>
      </c>
      <c r="C45" t="inlineStr">
        <is>
          <t>María Zambrano</t>
        </is>
      </c>
      <c r="D45" s="3" t="inlineStr">
        <is>
          <t>0946553958</t>
        </is>
      </c>
      <c r="E45" t="inlineStr">
        <is>
          <t>Banana Split</t>
        </is>
      </c>
      <c r="F45" s="4" t="n">
        <v>15</v>
      </c>
      <c r="G45" t="inlineStr">
        <is>
          <t>Interesado</t>
        </is>
      </c>
      <c r="H45" t="inlineStr">
        <is>
          <t>TikTok</t>
        </is>
      </c>
      <c r="I45" t="inlineStr">
        <is>
          <t>Baja</t>
        </is>
      </c>
      <c r="J45" t="inlineStr">
        <is>
          <t>Interesado en promoción</t>
        </is>
      </c>
      <c r="K45" s="2" t="n">
        <v>46193</v>
      </c>
    </row>
    <row r="46">
      <c r="A46" t="n">
        <v>45</v>
      </c>
      <c r="B46" s="2" t="n">
        <v>46171</v>
      </c>
      <c r="C46" t="inlineStr">
        <is>
          <t>Isabel Navarro</t>
        </is>
      </c>
      <c r="D46" s="3" t="inlineStr">
        <is>
          <t>0975569635</t>
        </is>
      </c>
      <c r="E46" t="inlineStr">
        <is>
          <t>Tulipán con Queso</t>
        </is>
      </c>
      <c r="F46" s="4" t="n">
        <v>30</v>
      </c>
      <c r="G46" t="inlineStr">
        <is>
          <t>Interesado</t>
        </is>
      </c>
      <c r="H46" t="inlineStr">
        <is>
          <t>TikTok</t>
        </is>
      </c>
      <c r="I46" t="inlineStr">
        <is>
          <t>Alta</t>
        </is>
      </c>
      <c r="J46" t="inlineStr">
        <is>
          <t>Interesado en promoción</t>
        </is>
      </c>
      <c r="K46" s="2" t="n">
        <v>46177</v>
      </c>
    </row>
    <row r="47">
      <c r="A47" t="n">
        <v>46</v>
      </c>
      <c r="B47" s="2" t="n">
        <v>46091</v>
      </c>
      <c r="C47" t="inlineStr">
        <is>
          <t>María López</t>
        </is>
      </c>
      <c r="D47" s="3" t="inlineStr">
        <is>
          <t>0954769200</t>
        </is>
      </c>
      <c r="E47" t="inlineStr">
        <is>
          <t>Tulipán con Queso</t>
        </is>
      </c>
      <c r="F47" s="4" t="n">
        <v>24</v>
      </c>
      <c r="G47" t="inlineStr">
        <is>
          <t>Propuesta</t>
        </is>
      </c>
      <c r="H47" t="inlineStr">
        <is>
          <t>Instagram</t>
        </is>
      </c>
      <c r="I47" t="inlineStr">
        <is>
          <t>Baja</t>
        </is>
      </c>
      <c r="J47" t="inlineStr">
        <is>
          <t>Esperando confirmación de pedido</t>
        </is>
      </c>
      <c r="K47" s="2" t="n">
        <v>46093</v>
      </c>
    </row>
    <row r="48">
      <c r="A48" t="n">
        <v>47</v>
      </c>
      <c r="B48" s="2" t="n">
        <v>46141</v>
      </c>
      <c r="C48" t="inlineStr">
        <is>
          <t>Lucía Fonseca</t>
        </is>
      </c>
      <c r="D48" s="3" t="inlineStr">
        <is>
          <t>0967403166</t>
        </is>
      </c>
      <c r="E48" t="inlineStr">
        <is>
          <t>Banana Split</t>
        </is>
      </c>
      <c r="F48" s="4" t="n">
        <v>22</v>
      </c>
      <c r="G48" t="inlineStr">
        <is>
          <t>Perdido</t>
        </is>
      </c>
      <c r="H48" t="inlineStr">
        <is>
          <t>Referido</t>
        </is>
      </c>
      <c r="I48" t="inlineStr">
        <is>
          <t>Alta</t>
        </is>
      </c>
      <c r="J48" t="inlineStr">
        <is>
          <t>No respondió</t>
        </is>
      </c>
      <c r="K48" s="2" t="n"/>
    </row>
    <row r="49">
      <c r="A49" t="n">
        <v>48</v>
      </c>
      <c r="B49" s="2" t="n">
        <v>46082</v>
      </c>
      <c r="C49" t="inlineStr">
        <is>
          <t>Tomás Herrera</t>
        </is>
      </c>
      <c r="D49" s="3" t="inlineStr">
        <is>
          <t>0914835614</t>
        </is>
      </c>
      <c r="E49" t="inlineStr">
        <is>
          <t>Waffle</t>
        </is>
      </c>
      <c r="F49" s="4" t="n">
        <v>23</v>
      </c>
      <c r="G49" t="inlineStr">
        <is>
          <t>Perdido</t>
        </is>
      </c>
      <c r="H49" t="inlineStr">
        <is>
          <t>TikTok</t>
        </is>
      </c>
      <c r="I49" t="inlineStr">
        <is>
          <t>Baja</t>
        </is>
      </c>
      <c r="J49" t="inlineStr">
        <is>
          <t>Precio fuera de presupuesto</t>
        </is>
      </c>
      <c r="K49" s="2" t="n"/>
    </row>
    <row r="50">
      <c r="A50" t="n">
        <v>49</v>
      </c>
      <c r="B50" s="2" t="n">
        <v>46181</v>
      </c>
      <c r="C50" t="inlineStr">
        <is>
          <t>Roberto Castillo</t>
        </is>
      </c>
      <c r="D50" s="3" t="inlineStr">
        <is>
          <t>0915354599</t>
        </is>
      </c>
      <c r="E50" t="inlineStr">
        <is>
          <t>Banana Split</t>
        </is>
      </c>
      <c r="F50" s="4" t="n">
        <v>14</v>
      </c>
      <c r="G50" t="inlineStr">
        <is>
          <t>Propuesta</t>
        </is>
      </c>
      <c r="H50" t="inlineStr">
        <is>
          <t>TikTok</t>
        </is>
      </c>
      <c r="I50" t="inlineStr">
        <is>
          <t>Alta</t>
        </is>
      </c>
      <c r="J50" t="inlineStr">
        <is>
          <t>Cotización enviada</t>
        </is>
      </c>
      <c r="K50" s="2" t="n">
        <v>46187</v>
      </c>
    </row>
    <row r="51">
      <c r="A51" t="n">
        <v>50</v>
      </c>
      <c r="B51" s="2" t="n">
        <v>46152</v>
      </c>
      <c r="C51" t="inlineStr">
        <is>
          <t>Diego Salazar</t>
        </is>
      </c>
      <c r="D51" s="3" t="inlineStr">
        <is>
          <t>0930743797</t>
        </is>
      </c>
      <c r="E51" t="inlineStr">
        <is>
          <t>Tulipán con Queso</t>
        </is>
      </c>
      <c r="F51" s="4" t="n">
        <v>28</v>
      </c>
      <c r="G51" t="inlineStr">
        <is>
          <t>Nuevo Lead</t>
        </is>
      </c>
      <c r="H51" t="inlineStr">
        <is>
          <t>Instagram</t>
        </is>
      </c>
      <c r="I51" t="inlineStr">
        <is>
          <t>Alta</t>
        </is>
      </c>
      <c r="J51" t="inlineStr">
        <is>
          <t>Primera consulta</t>
        </is>
      </c>
      <c r="K51" s="2" t="n">
        <v>46160</v>
      </c>
    </row>
    <row r="52">
      <c r="A52" t="n">
        <v>51</v>
      </c>
      <c r="B52" s="2" t="n">
        <v>46175</v>
      </c>
      <c r="C52" t="inlineStr">
        <is>
          <t>Renata Morales</t>
        </is>
      </c>
      <c r="D52" s="3" t="inlineStr">
        <is>
          <t>0999913412</t>
        </is>
      </c>
      <c r="E52" t="inlineStr">
        <is>
          <t>Sundae</t>
        </is>
      </c>
      <c r="F52" s="4" t="n">
        <v>16</v>
      </c>
      <c r="G52" t="inlineStr">
        <is>
          <t>Nuevo Lead</t>
        </is>
      </c>
      <c r="H52" t="inlineStr">
        <is>
          <t>Google</t>
        </is>
      </c>
      <c r="I52" t="inlineStr">
        <is>
          <t>Alta</t>
        </is>
      </c>
      <c r="J52" t="inlineStr">
        <is>
          <t>Preguntó por el menú</t>
        </is>
      </c>
      <c r="K52" s="2" t="n">
        <v>46183</v>
      </c>
    </row>
    <row r="53">
      <c r="A53" t="n">
        <v>52</v>
      </c>
      <c r="B53" s="2" t="n">
        <v>46184</v>
      </c>
      <c r="C53" t="inlineStr">
        <is>
          <t>Gabriela Ortiz</t>
        </is>
      </c>
      <c r="D53" s="3" t="inlineStr">
        <is>
          <t>0915197528</t>
        </is>
      </c>
      <c r="E53" t="inlineStr">
        <is>
          <t>Banana Split</t>
        </is>
      </c>
      <c r="F53" s="4" t="n">
        <v>20</v>
      </c>
      <c r="G53" t="inlineStr">
        <is>
          <t>Perdido</t>
        </is>
      </c>
      <c r="H53" t="inlineStr">
        <is>
          <t>WhatsApp</t>
        </is>
      </c>
      <c r="I53" t="inlineStr">
        <is>
          <t>Alta</t>
        </is>
      </c>
      <c r="J53" t="inlineStr">
        <is>
          <t>No respondió</t>
        </is>
      </c>
      <c r="K53" s="2" t="n"/>
    </row>
    <row r="54">
      <c r="A54" t="n">
        <v>53</v>
      </c>
      <c r="B54" s="2" t="n">
        <v>46158</v>
      </c>
      <c r="C54" t="inlineStr">
        <is>
          <t>María López</t>
        </is>
      </c>
      <c r="D54" s="3" t="inlineStr">
        <is>
          <t>0998588154</t>
        </is>
      </c>
      <c r="E54" t="inlineStr">
        <is>
          <t>Sundae</t>
        </is>
      </c>
      <c r="F54" s="4" t="n">
        <v>14</v>
      </c>
      <c r="G54" t="inlineStr">
        <is>
          <t>Interesado</t>
        </is>
      </c>
      <c r="H54" t="inlineStr">
        <is>
          <t>Instagram</t>
        </is>
      </c>
      <c r="I54" t="inlineStr">
        <is>
          <t>Media</t>
        </is>
      </c>
      <c r="J54" t="inlineStr">
        <is>
          <t>Pidió muestra</t>
        </is>
      </c>
      <c r="K54" s="2" t="n">
        <v>46163</v>
      </c>
    </row>
    <row r="55">
      <c r="A55" t="n">
        <v>54</v>
      </c>
      <c r="B55" s="2" t="n">
        <v>46099</v>
      </c>
      <c r="C55" t="inlineStr">
        <is>
          <t>Natalia Cordero</t>
        </is>
      </c>
      <c r="D55" s="3" t="inlineStr">
        <is>
          <t>0978371272</t>
        </is>
      </c>
      <c r="E55" t="inlineStr">
        <is>
          <t>Helado Soft</t>
        </is>
      </c>
      <c r="F55" s="4" t="n">
        <v>20</v>
      </c>
      <c r="G55" t="inlineStr">
        <is>
          <t>Nuevo Lead</t>
        </is>
      </c>
      <c r="H55" t="inlineStr">
        <is>
          <t>WhatsApp</t>
        </is>
      </c>
      <c r="I55" t="inlineStr">
        <is>
          <t>Baja</t>
        </is>
      </c>
      <c r="J55" t="inlineStr">
        <is>
          <t>Preguntó por el menú</t>
        </is>
      </c>
      <c r="K55" s="2" t="n">
        <v>46106</v>
      </c>
    </row>
    <row r="56">
      <c r="A56" t="n">
        <v>55</v>
      </c>
      <c r="B56" s="2" t="n">
        <v>46085</v>
      </c>
      <c r="C56" t="inlineStr">
        <is>
          <t>Camila Vargas</t>
        </is>
      </c>
      <c r="D56" s="3" t="inlineStr">
        <is>
          <t>0945630292</t>
        </is>
      </c>
      <c r="E56" t="inlineStr">
        <is>
          <t>Waffle</t>
        </is>
      </c>
      <c r="F56" s="4" t="n">
        <v>25</v>
      </c>
      <c r="G56" t="inlineStr">
        <is>
          <t>Nuevo Lead</t>
        </is>
      </c>
      <c r="H56" t="inlineStr">
        <is>
          <t>Facebook</t>
        </is>
      </c>
      <c r="I56" t="inlineStr">
        <is>
          <t>Alta</t>
        </is>
      </c>
      <c r="J56" t="inlineStr">
        <is>
          <t>Escribió por redes</t>
        </is>
      </c>
      <c r="K56" s="2" t="n">
        <v>46089</v>
      </c>
    </row>
    <row r="57">
      <c r="A57" t="n">
        <v>56</v>
      </c>
      <c r="B57" s="2" t="n">
        <v>46097</v>
      </c>
      <c r="C57" t="inlineStr">
        <is>
          <t>Kevin Rodríguez</t>
        </is>
      </c>
      <c r="D57" s="3" t="inlineStr">
        <is>
          <t>0991363974</t>
        </is>
      </c>
      <c r="E57" t="inlineStr">
        <is>
          <t>Helado Soft</t>
        </is>
      </c>
      <c r="F57" s="4" t="n">
        <v>21</v>
      </c>
      <c r="G57" t="inlineStr">
        <is>
          <t>Perdido</t>
        </is>
      </c>
      <c r="H57" t="inlineStr">
        <is>
          <t>Referido</t>
        </is>
      </c>
      <c r="I57" t="inlineStr">
        <is>
          <t>Alta</t>
        </is>
      </c>
      <c r="J57" t="inlineStr">
        <is>
          <t>Eligió otra opción</t>
        </is>
      </c>
      <c r="K57" s="2" t="n"/>
    </row>
    <row r="58">
      <c r="A58" t="n">
        <v>57</v>
      </c>
      <c r="B58" s="2" t="n">
        <v>46165</v>
      </c>
      <c r="C58" t="inlineStr">
        <is>
          <t>María López</t>
        </is>
      </c>
      <c r="D58" s="3" t="inlineStr">
        <is>
          <t>0979782527</t>
        </is>
      </c>
      <c r="E58" t="inlineStr">
        <is>
          <t>Helado con Queso</t>
        </is>
      </c>
      <c r="F58" s="4" t="n">
        <v>18</v>
      </c>
      <c r="G58" t="inlineStr">
        <is>
          <t>Contactado</t>
        </is>
      </c>
      <c r="H58" t="inlineStr">
        <is>
          <t>Referido</t>
        </is>
      </c>
      <c r="I58" t="inlineStr">
        <is>
          <t>Baja</t>
        </is>
      </c>
      <c r="J58" t="inlineStr">
        <is>
          <t>Llamada de seguimiento realizada</t>
        </is>
      </c>
      <c r="K58" s="2" t="n">
        <v>46173</v>
      </c>
    </row>
    <row r="59">
      <c r="A59" t="n">
        <v>58</v>
      </c>
      <c r="B59" s="2" t="n">
        <v>46112</v>
      </c>
      <c r="C59" t="inlineStr">
        <is>
          <t>Roberto Castillo</t>
        </is>
      </c>
      <c r="D59" s="3" t="inlineStr">
        <is>
          <t>0967887757</t>
        </is>
      </c>
      <c r="E59" t="inlineStr">
        <is>
          <t>Tulipán con Queso</t>
        </is>
      </c>
      <c r="F59" s="4" t="n">
        <v>23</v>
      </c>
      <c r="G59" t="inlineStr">
        <is>
          <t>Perdido</t>
        </is>
      </c>
      <c r="H59" t="inlineStr">
        <is>
          <t>Facebook</t>
        </is>
      </c>
      <c r="I59" t="inlineStr">
        <is>
          <t>Baja</t>
        </is>
      </c>
      <c r="J59" t="inlineStr">
        <is>
          <t>Eligió otra opción</t>
        </is>
      </c>
      <c r="K59" s="2" t="n"/>
    </row>
    <row r="60">
      <c r="A60" t="n">
        <v>59</v>
      </c>
      <c r="B60" s="2" t="n">
        <v>46113</v>
      </c>
      <c r="C60" t="inlineStr">
        <is>
          <t>Isabel Navarro</t>
        </is>
      </c>
      <c r="D60" s="3" t="inlineStr">
        <is>
          <t>0951511484</t>
        </is>
      </c>
      <c r="E60" t="inlineStr">
        <is>
          <t>Helado con Queso</t>
        </is>
      </c>
      <c r="F60" s="4" t="n">
        <v>19</v>
      </c>
      <c r="G60" t="inlineStr">
        <is>
          <t>Interesado</t>
        </is>
      </c>
      <c r="H60" t="inlineStr">
        <is>
          <t>Google</t>
        </is>
      </c>
      <c r="I60" t="inlineStr">
        <is>
          <t>Media</t>
        </is>
      </c>
      <c r="J60" t="inlineStr">
        <is>
          <t>Pidió muestra</t>
        </is>
      </c>
      <c r="K60" s="2" t="n">
        <v>46119</v>
      </c>
    </row>
    <row r="61">
      <c r="A61" t="n">
        <v>60</v>
      </c>
      <c r="B61" s="2" t="n">
        <v>46160</v>
      </c>
      <c r="C61" t="inlineStr">
        <is>
          <t>María Zambrano</t>
        </is>
      </c>
      <c r="D61" s="3" t="inlineStr">
        <is>
          <t>0935748341</t>
        </is>
      </c>
      <c r="E61" t="inlineStr">
        <is>
          <t>Sundae</t>
        </is>
      </c>
      <c r="F61" s="4" t="n">
        <v>19</v>
      </c>
      <c r="G61" t="inlineStr">
        <is>
          <t>Perdido</t>
        </is>
      </c>
      <c r="H61" t="inlineStr">
        <is>
          <t>WhatsApp</t>
        </is>
      </c>
      <c r="I61" t="inlineStr">
        <is>
          <t>Baja</t>
        </is>
      </c>
      <c r="J61" t="inlineStr">
        <is>
          <t>Eligió otra opción</t>
        </is>
      </c>
      <c r="K61" s="2" t="n"/>
    </row>
    <row r="62">
      <c r="A62" t="n">
        <v>61</v>
      </c>
      <c r="B62" s="2" t="n">
        <v>46082</v>
      </c>
      <c r="C62" t="inlineStr">
        <is>
          <t>Diego Salazar</t>
        </is>
      </c>
      <c r="D62" s="3" t="inlineStr">
        <is>
          <t>0986384014</t>
        </is>
      </c>
      <c r="E62" t="inlineStr">
        <is>
          <t>Tulipán con Queso</t>
        </is>
      </c>
      <c r="F62" s="4" t="n">
        <v>22</v>
      </c>
      <c r="G62" t="inlineStr">
        <is>
          <t>Perdido</t>
        </is>
      </c>
      <c r="H62" t="inlineStr">
        <is>
          <t>TikTok</t>
        </is>
      </c>
      <c r="I62" t="inlineStr">
        <is>
          <t>Media</t>
        </is>
      </c>
      <c r="J62" t="inlineStr">
        <is>
          <t>Precio fuera de presupuesto</t>
        </is>
      </c>
      <c r="K62" s="2" t="n"/>
    </row>
    <row r="63">
      <c r="A63" t="n">
        <v>62</v>
      </c>
      <c r="B63" s="2" t="n">
        <v>46161</v>
      </c>
      <c r="C63" t="inlineStr">
        <is>
          <t>Renata Morales</t>
        </is>
      </c>
      <c r="D63" s="3" t="inlineStr">
        <is>
          <t>0987844239</t>
        </is>
      </c>
      <c r="E63" t="inlineStr">
        <is>
          <t>Waffle</t>
        </is>
      </c>
      <c r="F63" s="4" t="n">
        <v>24</v>
      </c>
      <c r="G63" t="inlineStr">
        <is>
          <t>Interesado</t>
        </is>
      </c>
      <c r="H63" t="inlineStr">
        <is>
          <t>Referido</t>
        </is>
      </c>
      <c r="I63" t="inlineStr">
        <is>
          <t>Baja</t>
        </is>
      </c>
      <c r="J63" t="inlineStr">
        <is>
          <t>Pidió muestra</t>
        </is>
      </c>
      <c r="K63" s="2" t="n">
        <v>46169</v>
      </c>
    </row>
    <row r="64">
      <c r="A64" t="n">
        <v>63</v>
      </c>
      <c r="B64" s="2" t="n">
        <v>46141</v>
      </c>
      <c r="C64" t="inlineStr">
        <is>
          <t>Isabel Navarro</t>
        </is>
      </c>
      <c r="D64" s="3" t="inlineStr">
        <is>
          <t>0973509974</t>
        </is>
      </c>
      <c r="E64" t="inlineStr">
        <is>
          <t>Sundae</t>
        </is>
      </c>
      <c r="F64" s="4" t="n">
        <v>21</v>
      </c>
      <c r="G64" t="inlineStr">
        <is>
          <t>Propuesta</t>
        </is>
      </c>
      <c r="H64" t="inlineStr">
        <is>
          <t>Google</t>
        </is>
      </c>
      <c r="I64" t="inlineStr">
        <is>
          <t>Alta</t>
        </is>
      </c>
      <c r="J64" t="inlineStr">
        <is>
          <t>Cotización enviada</t>
        </is>
      </c>
      <c r="K64" s="2" t="n">
        <v>46146</v>
      </c>
    </row>
    <row r="65">
      <c r="A65" t="n">
        <v>64</v>
      </c>
      <c r="B65" s="2" t="n">
        <v>46113</v>
      </c>
      <c r="C65" t="inlineStr">
        <is>
          <t>Diego Salazar</t>
        </is>
      </c>
      <c r="D65" s="3" t="inlineStr">
        <is>
          <t>0954988206</t>
        </is>
      </c>
      <c r="E65" t="inlineStr">
        <is>
          <t>Helado Soft</t>
        </is>
      </c>
      <c r="F65" s="4" t="n">
        <v>26</v>
      </c>
      <c r="G65" t="inlineStr">
        <is>
          <t>Ganado</t>
        </is>
      </c>
      <c r="H65" t="inlineStr">
        <is>
          <t>Facebook</t>
        </is>
      </c>
      <c r="I65" t="inlineStr">
        <is>
          <t>Alta</t>
        </is>
      </c>
      <c r="J65" t="inlineStr">
        <is>
          <t>Cliente satisfecho</t>
        </is>
      </c>
      <c r="K65" s="2" t="n"/>
    </row>
    <row r="66">
      <c r="A66" t="n">
        <v>65</v>
      </c>
      <c r="B66" s="2" t="n">
        <v>46094</v>
      </c>
      <c r="C66" t="inlineStr">
        <is>
          <t>María López</t>
        </is>
      </c>
      <c r="D66" s="3" t="inlineStr">
        <is>
          <t>0916202700</t>
        </is>
      </c>
      <c r="E66" t="inlineStr">
        <is>
          <t>Helado Soft</t>
        </is>
      </c>
      <c r="F66" s="4" t="n">
        <v>19</v>
      </c>
      <c r="G66" t="inlineStr">
        <is>
          <t>Contactado</t>
        </is>
      </c>
      <c r="H66" t="inlineStr">
        <is>
          <t>Instagram</t>
        </is>
      </c>
      <c r="I66" t="inlineStr">
        <is>
          <t>Media</t>
        </is>
      </c>
      <c r="J66" t="inlineStr">
        <is>
          <t>Llamada de seguimiento realizada</t>
        </is>
      </c>
      <c r="K66" s="2" t="n">
        <v>46098</v>
      </c>
    </row>
    <row r="67">
      <c r="A67" t="n">
        <v>66</v>
      </c>
      <c r="B67" s="2" t="n">
        <v>46144</v>
      </c>
      <c r="C67" t="inlineStr">
        <is>
          <t>Lucía Fonseca</t>
        </is>
      </c>
      <c r="D67" s="3" t="inlineStr">
        <is>
          <t>0961536717</t>
        </is>
      </c>
      <c r="E67" t="inlineStr">
        <is>
          <t>Waffle</t>
        </is>
      </c>
      <c r="F67" s="4" t="n">
        <v>31</v>
      </c>
      <c r="G67" t="inlineStr">
        <is>
          <t>Propuesta</t>
        </is>
      </c>
      <c r="H67" t="inlineStr">
        <is>
          <t>WhatsApp</t>
        </is>
      </c>
      <c r="I67" t="inlineStr">
        <is>
          <t>Media</t>
        </is>
      </c>
      <c r="J67" t="inlineStr">
        <is>
          <t>Cotización enviada</t>
        </is>
      </c>
      <c r="K67" s="2" t="n">
        <v>46149</v>
      </c>
    </row>
    <row r="68">
      <c r="A68" t="n">
        <v>67</v>
      </c>
      <c r="B68" s="2" t="n">
        <v>46109</v>
      </c>
      <c r="C68" t="inlineStr">
        <is>
          <t>Ricardo Salas</t>
        </is>
      </c>
      <c r="D68" s="3" t="inlineStr">
        <is>
          <t>0924305904</t>
        </is>
      </c>
      <c r="E68" t="inlineStr">
        <is>
          <t>Banana Split</t>
        </is>
      </c>
      <c r="F68" s="4" t="n">
        <v>14</v>
      </c>
      <c r="G68" t="inlineStr">
        <is>
          <t>Perdido</t>
        </is>
      </c>
      <c r="H68" t="inlineStr">
        <is>
          <t>WhatsApp</t>
        </is>
      </c>
      <c r="I68" t="inlineStr">
        <is>
          <t>Alta</t>
        </is>
      </c>
      <c r="J68" t="inlineStr">
        <is>
          <t>No respondió</t>
        </is>
      </c>
      <c r="K68" s="2" t="n"/>
    </row>
    <row r="69">
      <c r="A69" t="n">
        <v>68</v>
      </c>
      <c r="B69" s="2" t="n">
        <v>46138</v>
      </c>
      <c r="C69" t="inlineStr">
        <is>
          <t>Tomás Herrera</t>
        </is>
      </c>
      <c r="D69" s="3" t="inlineStr">
        <is>
          <t>0943446826</t>
        </is>
      </c>
      <c r="E69" t="inlineStr">
        <is>
          <t>Tulipán con Queso</t>
        </is>
      </c>
      <c r="F69" s="4" t="n">
        <v>20</v>
      </c>
      <c r="G69" t="inlineStr">
        <is>
          <t>Ganado</t>
        </is>
      </c>
      <c r="H69" t="inlineStr">
        <is>
          <t>Facebook</t>
        </is>
      </c>
      <c r="I69" t="inlineStr">
        <is>
          <t>Media</t>
        </is>
      </c>
      <c r="J69" t="inlineStr">
        <is>
          <t>Compra realizada</t>
        </is>
      </c>
      <c r="K69" s="2" t="n"/>
    </row>
    <row r="70">
      <c r="A70" t="n">
        <v>69</v>
      </c>
      <c r="B70" s="2" t="n">
        <v>46130</v>
      </c>
      <c r="C70" t="inlineStr">
        <is>
          <t>Diego Salazar</t>
        </is>
      </c>
      <c r="D70" s="3" t="inlineStr">
        <is>
          <t>0952587010</t>
        </is>
      </c>
      <c r="E70" t="inlineStr">
        <is>
          <t>Sundae</t>
        </is>
      </c>
      <c r="F70" s="4" t="n">
        <v>19</v>
      </c>
      <c r="G70" t="inlineStr">
        <is>
          <t>Perdido</t>
        </is>
      </c>
      <c r="H70" t="inlineStr">
        <is>
          <t>WhatsApp</t>
        </is>
      </c>
      <c r="I70" t="inlineStr">
        <is>
          <t>Baja</t>
        </is>
      </c>
      <c r="J70" t="inlineStr">
        <is>
          <t>Precio fuera de presupuesto</t>
        </is>
      </c>
      <c r="K70" s="2" t="n"/>
    </row>
    <row r="71">
      <c r="A71" t="n">
        <v>70</v>
      </c>
      <c r="B71" s="2" t="n">
        <v>46091</v>
      </c>
      <c r="C71" t="inlineStr">
        <is>
          <t>Ricardo Salas</t>
        </is>
      </c>
      <c r="D71" s="3" t="inlineStr">
        <is>
          <t>0931361812</t>
        </is>
      </c>
      <c r="E71" t="inlineStr">
        <is>
          <t>Helado con Queso</t>
        </is>
      </c>
      <c r="F71" s="4" t="n">
        <v>26</v>
      </c>
      <c r="G71" t="inlineStr">
        <is>
          <t>Propuesta</t>
        </is>
      </c>
      <c r="H71" t="inlineStr">
        <is>
          <t>Google</t>
        </is>
      </c>
      <c r="I71" t="inlineStr">
        <is>
          <t>Media</t>
        </is>
      </c>
      <c r="J71" t="inlineStr">
        <is>
          <t>Esperando confirmación de pedido</t>
        </is>
      </c>
      <c r="K71" s="2" t="n">
        <v>46100</v>
      </c>
    </row>
    <row r="72">
      <c r="A72" t="n">
        <v>71</v>
      </c>
      <c r="B72" s="2" t="n">
        <v>46090</v>
      </c>
      <c r="C72" t="inlineStr">
        <is>
          <t>Joaquín Reyes</t>
        </is>
      </c>
      <c r="D72" s="3" t="inlineStr">
        <is>
          <t>0979967676</t>
        </is>
      </c>
      <c r="E72" t="inlineStr">
        <is>
          <t>Helado Soft</t>
        </is>
      </c>
      <c r="F72" s="4" t="n">
        <v>26</v>
      </c>
      <c r="G72" t="inlineStr">
        <is>
          <t>Contactado</t>
        </is>
      </c>
      <c r="H72" t="inlineStr">
        <is>
          <t>WhatsApp</t>
        </is>
      </c>
      <c r="I72" t="inlineStr">
        <is>
          <t>Baja</t>
        </is>
      </c>
      <c r="J72" t="inlineStr">
        <is>
          <t>Solicitó precios</t>
        </is>
      </c>
      <c r="K72" s="2" t="n">
        <v>46096</v>
      </c>
    </row>
    <row r="73">
      <c r="A73" t="n">
        <v>72</v>
      </c>
      <c r="B73" s="2" t="n">
        <v>46188</v>
      </c>
      <c r="C73" t="inlineStr">
        <is>
          <t>Patricia González</t>
        </is>
      </c>
      <c r="D73" s="3" t="inlineStr">
        <is>
          <t>0955076693</t>
        </is>
      </c>
      <c r="E73" t="inlineStr">
        <is>
          <t>Helado Soft</t>
        </is>
      </c>
      <c r="F73" s="4" t="n">
        <v>20</v>
      </c>
      <c r="G73" t="inlineStr">
        <is>
          <t>Propuesta</t>
        </is>
      </c>
      <c r="H73" t="inlineStr">
        <is>
          <t>TikTok</t>
        </is>
      </c>
      <c r="I73" t="inlineStr">
        <is>
          <t>Baja</t>
        </is>
      </c>
      <c r="J73" t="inlineStr">
        <is>
          <t>Cotización enviada</t>
        </is>
      </c>
      <c r="K73" s="2" t="n">
        <v>46193</v>
      </c>
    </row>
    <row r="74">
      <c r="A74" t="n">
        <v>73</v>
      </c>
      <c r="B74" s="2" t="n">
        <v>46168</v>
      </c>
      <c r="C74" t="inlineStr">
        <is>
          <t>Lucía Fonseca</t>
        </is>
      </c>
      <c r="D74" s="3" t="inlineStr">
        <is>
          <t>0938716269</t>
        </is>
      </c>
      <c r="E74" t="inlineStr">
        <is>
          <t>Banana Split</t>
        </is>
      </c>
      <c r="F74" s="4" t="n">
        <v>20</v>
      </c>
      <c r="G74" t="inlineStr">
        <is>
          <t>Contactado</t>
        </is>
      </c>
      <c r="H74" t="inlineStr">
        <is>
          <t>Facebook</t>
        </is>
      </c>
      <c r="I74" t="inlineStr">
        <is>
          <t>Media</t>
        </is>
      </c>
      <c r="J74" t="inlineStr">
        <is>
          <t>Se le envió catálogo</t>
        </is>
      </c>
      <c r="K74" s="2" t="n">
        <v>46172</v>
      </c>
    </row>
    <row r="75">
      <c r="A75" t="n">
        <v>74</v>
      </c>
      <c r="B75" s="2" t="n">
        <v>46138</v>
      </c>
      <c r="C75" t="inlineStr">
        <is>
          <t>Carlos Vera</t>
        </is>
      </c>
      <c r="D75" s="3" t="inlineStr">
        <is>
          <t>0937760841</t>
        </is>
      </c>
      <c r="E75" t="inlineStr">
        <is>
          <t>Helado Soft</t>
        </is>
      </c>
      <c r="F75" s="4" t="n">
        <v>22</v>
      </c>
      <c r="G75" t="inlineStr">
        <is>
          <t>Ganado</t>
        </is>
      </c>
      <c r="H75" t="inlineStr">
        <is>
          <t>WhatsApp</t>
        </is>
      </c>
      <c r="I75" t="inlineStr">
        <is>
          <t>Media</t>
        </is>
      </c>
      <c r="J75" t="inlineStr">
        <is>
          <t>Cliente satisfecho</t>
        </is>
      </c>
      <c r="K75" s="2" t="n"/>
    </row>
    <row r="76">
      <c r="A76" t="n">
        <v>75</v>
      </c>
      <c r="B76" s="2" t="n">
        <v>46088</v>
      </c>
      <c r="C76" t="inlineStr">
        <is>
          <t>Fernando Vega</t>
        </is>
      </c>
      <c r="D76" s="3" t="inlineStr">
        <is>
          <t>0910791358</t>
        </is>
      </c>
      <c r="E76" t="inlineStr">
        <is>
          <t>Tulipán con Queso</t>
        </is>
      </c>
      <c r="F76" s="4" t="n">
        <v>29</v>
      </c>
      <c r="G76" t="inlineStr">
        <is>
          <t>Nuevo Lead</t>
        </is>
      </c>
      <c r="H76" t="inlineStr">
        <is>
          <t>TikTok</t>
        </is>
      </c>
      <c r="I76" t="inlineStr">
        <is>
          <t>Media</t>
        </is>
      </c>
      <c r="J76" t="inlineStr">
        <is>
          <t>Escribió por redes</t>
        </is>
      </c>
      <c r="K76" s="2" t="n">
        <v>46096</v>
      </c>
    </row>
    <row r="77">
      <c r="A77" t="n">
        <v>76</v>
      </c>
      <c r="B77" s="2" t="n">
        <v>46102</v>
      </c>
      <c r="C77" t="inlineStr">
        <is>
          <t>Renata Morales</t>
        </is>
      </c>
      <c r="D77" s="3" t="inlineStr">
        <is>
          <t>0990967191</t>
        </is>
      </c>
      <c r="E77" t="inlineStr">
        <is>
          <t>Sundae</t>
        </is>
      </c>
      <c r="F77" s="4" t="n">
        <v>19</v>
      </c>
      <c r="G77" t="inlineStr">
        <is>
          <t>Ganado</t>
        </is>
      </c>
      <c r="H77" t="inlineStr">
        <is>
          <t>Instagram</t>
        </is>
      </c>
      <c r="I77" t="inlineStr">
        <is>
          <t>Media</t>
        </is>
      </c>
      <c r="J77" t="inlineStr">
        <is>
          <t>Compra realizada</t>
        </is>
      </c>
      <c r="K77" s="2" t="n"/>
    </row>
    <row r="78">
      <c r="A78" t="n">
        <v>77</v>
      </c>
      <c r="B78" s="2" t="n">
        <v>46135</v>
      </c>
      <c r="C78" t="inlineStr">
        <is>
          <t>Paola Vera</t>
        </is>
      </c>
      <c r="D78" s="3" t="inlineStr">
        <is>
          <t>0999774697</t>
        </is>
      </c>
      <c r="E78" t="inlineStr">
        <is>
          <t>Helado Soft</t>
        </is>
      </c>
      <c r="F78" s="4" t="n">
        <v>16</v>
      </c>
      <c r="G78" t="inlineStr">
        <is>
          <t>Propuesta</t>
        </is>
      </c>
      <c r="H78" t="inlineStr">
        <is>
          <t>Google</t>
        </is>
      </c>
      <c r="I78" t="inlineStr">
        <is>
          <t>Media</t>
        </is>
      </c>
      <c r="J78" t="inlineStr">
        <is>
          <t>Cotización enviada</t>
        </is>
      </c>
      <c r="K78" s="2" t="n">
        <v>46143</v>
      </c>
    </row>
    <row r="79">
      <c r="A79" t="n">
        <v>78</v>
      </c>
      <c r="B79" s="2" t="n">
        <v>46118</v>
      </c>
      <c r="C79" t="inlineStr">
        <is>
          <t>Valentina Gómez</t>
        </is>
      </c>
      <c r="D79" s="3" t="inlineStr">
        <is>
          <t>0962884503</t>
        </is>
      </c>
      <c r="E79" t="inlineStr">
        <is>
          <t>Sundae</t>
        </is>
      </c>
      <c r="F79" s="4" t="n">
        <v>19</v>
      </c>
      <c r="G79" t="inlineStr">
        <is>
          <t>Contactado</t>
        </is>
      </c>
      <c r="H79" t="inlineStr">
        <is>
          <t>Referido</t>
        </is>
      </c>
      <c r="I79" t="inlineStr">
        <is>
          <t>Baja</t>
        </is>
      </c>
      <c r="J79" t="inlineStr">
        <is>
          <t>Llamada de seguimiento realizada</t>
        </is>
      </c>
      <c r="K79" s="2" t="n">
        <v>46120</v>
      </c>
    </row>
    <row r="80">
      <c r="A80" t="n">
        <v>79</v>
      </c>
      <c r="B80" s="2" t="n">
        <v>46115</v>
      </c>
      <c r="C80" t="inlineStr">
        <is>
          <t>Gabriela Ortiz</t>
        </is>
      </c>
      <c r="D80" s="3" t="inlineStr">
        <is>
          <t>0971968116</t>
        </is>
      </c>
      <c r="E80" t="inlineStr">
        <is>
          <t>Waffle</t>
        </is>
      </c>
      <c r="F80" s="4" t="n">
        <v>27</v>
      </c>
      <c r="G80" t="inlineStr">
        <is>
          <t>Nuevo Lead</t>
        </is>
      </c>
      <c r="H80" t="inlineStr">
        <is>
          <t>Instagram</t>
        </is>
      </c>
      <c r="I80" t="inlineStr">
        <is>
          <t>Alta</t>
        </is>
      </c>
      <c r="J80" t="inlineStr">
        <is>
          <t>Preguntó por el menú</t>
        </is>
      </c>
      <c r="K80" s="2" t="n">
        <v>46119</v>
      </c>
    </row>
    <row r="81">
      <c r="A81" t="n">
        <v>80</v>
      </c>
      <c r="B81" s="2" t="n">
        <v>46170</v>
      </c>
      <c r="C81" t="inlineStr">
        <is>
          <t>Paola Vera</t>
        </is>
      </c>
      <c r="D81" s="3" t="inlineStr">
        <is>
          <t>0960885459</t>
        </is>
      </c>
      <c r="E81" t="inlineStr">
        <is>
          <t>Sundae</t>
        </is>
      </c>
      <c r="F81" s="4" t="n">
        <v>18</v>
      </c>
      <c r="G81" t="inlineStr">
        <is>
          <t>Interesado</t>
        </is>
      </c>
      <c r="H81" t="inlineStr">
        <is>
          <t>TikTok</t>
        </is>
      </c>
      <c r="I81" t="inlineStr">
        <is>
          <t>Media</t>
        </is>
      </c>
      <c r="J81" t="inlineStr">
        <is>
          <t>Pidió muestra</t>
        </is>
      </c>
      <c r="K81" s="2" t="n">
        <v>46177</v>
      </c>
    </row>
    <row r="82">
      <c r="A82" t="n">
        <v>81</v>
      </c>
      <c r="B82" s="2" t="n">
        <v>46195</v>
      </c>
      <c r="C82" t="inlineStr">
        <is>
          <t>Roberto Castillo</t>
        </is>
      </c>
      <c r="D82" s="3" t="inlineStr">
        <is>
          <t>0940094589</t>
        </is>
      </c>
      <c r="E82" t="inlineStr">
        <is>
          <t>Waffle</t>
        </is>
      </c>
      <c r="F82" s="4" t="n">
        <v>29</v>
      </c>
      <c r="G82" t="inlineStr">
        <is>
          <t>Propuesta</t>
        </is>
      </c>
      <c r="H82" t="inlineStr">
        <is>
          <t>Google</t>
        </is>
      </c>
      <c r="I82" t="inlineStr">
        <is>
          <t>Alta</t>
        </is>
      </c>
      <c r="J82" t="inlineStr">
        <is>
          <t>Cotización enviada</t>
        </is>
      </c>
      <c r="K82" s="2" t="n">
        <v>46197</v>
      </c>
    </row>
    <row r="83">
      <c r="A83" t="n">
        <v>82</v>
      </c>
      <c r="B83" s="2" t="n">
        <v>46172</v>
      </c>
      <c r="C83" t="inlineStr">
        <is>
          <t>David Suárez</t>
        </is>
      </c>
      <c r="D83" s="3" t="inlineStr">
        <is>
          <t>0926941092</t>
        </is>
      </c>
      <c r="E83" t="inlineStr">
        <is>
          <t>Waffle</t>
        </is>
      </c>
      <c r="F83" s="4" t="n">
        <v>21</v>
      </c>
      <c r="G83" t="inlineStr">
        <is>
          <t>Contactado</t>
        </is>
      </c>
      <c r="H83" t="inlineStr">
        <is>
          <t>WhatsApp</t>
        </is>
      </c>
      <c r="I83" t="inlineStr">
        <is>
          <t>Baja</t>
        </is>
      </c>
      <c r="J83" t="inlineStr">
        <is>
          <t>Solicitó precios</t>
        </is>
      </c>
      <c r="K83" s="2" t="n">
        <v>46176</v>
      </c>
    </row>
    <row r="84">
      <c r="A84" t="n">
        <v>83</v>
      </c>
      <c r="B84" s="2" t="n">
        <v>46138</v>
      </c>
      <c r="C84" t="inlineStr">
        <is>
          <t>Juan Tomalá</t>
        </is>
      </c>
      <c r="D84" s="3" t="inlineStr">
        <is>
          <t>0991321540</t>
        </is>
      </c>
      <c r="E84" t="inlineStr">
        <is>
          <t>Helado con Queso</t>
        </is>
      </c>
      <c r="F84" s="4" t="n">
        <v>22</v>
      </c>
      <c r="G84" t="inlineStr">
        <is>
          <t>Contactado</t>
        </is>
      </c>
      <c r="H84" t="inlineStr">
        <is>
          <t>Referido</t>
        </is>
      </c>
      <c r="I84" t="inlineStr">
        <is>
          <t>Baja</t>
        </is>
      </c>
      <c r="J84" t="inlineStr">
        <is>
          <t>Llamada de seguimiento realizada</t>
        </is>
      </c>
      <c r="K84" s="2" t="n">
        <v>46145</v>
      </c>
    </row>
    <row r="85">
      <c r="A85" t="n">
        <v>84</v>
      </c>
      <c r="B85" s="2" t="n">
        <v>46158</v>
      </c>
      <c r="C85" t="inlineStr">
        <is>
          <t>Valentina Gómez</t>
        </is>
      </c>
      <c r="D85" s="3" t="inlineStr">
        <is>
          <t>0951870192</t>
        </is>
      </c>
      <c r="E85" t="inlineStr">
        <is>
          <t>Waffle</t>
        </is>
      </c>
      <c r="F85" s="4" t="n">
        <v>22</v>
      </c>
      <c r="G85" t="inlineStr">
        <is>
          <t>Contactado</t>
        </is>
      </c>
      <c r="H85" t="inlineStr">
        <is>
          <t>Referido</t>
        </is>
      </c>
      <c r="I85" t="inlineStr">
        <is>
          <t>Baja</t>
        </is>
      </c>
      <c r="J85" t="inlineStr">
        <is>
          <t>Se le envió catálogo</t>
        </is>
      </c>
      <c r="K85" s="2" t="n">
        <v>46160</v>
      </c>
    </row>
    <row r="86">
      <c r="A86" t="n">
        <v>85</v>
      </c>
      <c r="B86" s="2" t="n">
        <v>46172</v>
      </c>
      <c r="C86" t="inlineStr">
        <is>
          <t>Camila Vargas</t>
        </is>
      </c>
      <c r="D86" s="3" t="inlineStr">
        <is>
          <t>0994187049</t>
        </is>
      </c>
      <c r="E86" t="inlineStr">
        <is>
          <t>Sundae</t>
        </is>
      </c>
      <c r="F86" s="4" t="n">
        <v>12</v>
      </c>
      <c r="G86" t="inlineStr">
        <is>
          <t>Perdido</t>
        </is>
      </c>
      <c r="H86" t="inlineStr">
        <is>
          <t>Instagram</t>
        </is>
      </c>
      <c r="I86" t="inlineStr">
        <is>
          <t>Alta</t>
        </is>
      </c>
      <c r="J86" t="inlineStr">
        <is>
          <t>Precio fuera de presupuesto</t>
        </is>
      </c>
      <c r="K86" s="2" t="n"/>
    </row>
    <row r="87">
      <c r="A87" t="n">
        <v>86</v>
      </c>
      <c r="B87" s="2" t="n">
        <v>46121</v>
      </c>
      <c r="C87" t="inlineStr">
        <is>
          <t>Renata Morales</t>
        </is>
      </c>
      <c r="D87" s="3" t="inlineStr">
        <is>
          <t>0985958181</t>
        </is>
      </c>
      <c r="E87" t="inlineStr">
        <is>
          <t>Helado Soft</t>
        </is>
      </c>
      <c r="F87" s="4" t="n">
        <v>17</v>
      </c>
      <c r="G87" t="inlineStr">
        <is>
          <t>Perdido</t>
        </is>
      </c>
      <c r="H87" t="inlineStr">
        <is>
          <t>Facebook</t>
        </is>
      </c>
      <c r="I87" t="inlineStr">
        <is>
          <t>Media</t>
        </is>
      </c>
      <c r="J87" t="inlineStr">
        <is>
          <t>Precio fuera de presupuesto</t>
        </is>
      </c>
      <c r="K87" s="2" t="n"/>
    </row>
    <row r="88">
      <c r="A88" t="n">
        <v>87</v>
      </c>
      <c r="B88" s="2" t="n">
        <v>46150</v>
      </c>
      <c r="C88" t="inlineStr">
        <is>
          <t>Isabel Navarro</t>
        </is>
      </c>
      <c r="D88" s="3" t="inlineStr">
        <is>
          <t>0996911784</t>
        </is>
      </c>
      <c r="E88" t="inlineStr">
        <is>
          <t>Sundae</t>
        </is>
      </c>
      <c r="F88" s="4" t="n">
        <v>12</v>
      </c>
      <c r="G88" t="inlineStr">
        <is>
          <t>Perdido</t>
        </is>
      </c>
      <c r="H88" t="inlineStr">
        <is>
          <t>TikTok</t>
        </is>
      </c>
      <c r="I88" t="inlineStr">
        <is>
          <t>Alta</t>
        </is>
      </c>
      <c r="J88" t="inlineStr">
        <is>
          <t>Eligió otra opción</t>
        </is>
      </c>
      <c r="K88" s="2" t="n"/>
    </row>
    <row r="89">
      <c r="A89" t="n">
        <v>88</v>
      </c>
      <c r="B89" s="2" t="n">
        <v>46142</v>
      </c>
      <c r="C89" t="inlineStr">
        <is>
          <t>Lucía Fonseca</t>
        </is>
      </c>
      <c r="D89" s="3" t="inlineStr">
        <is>
          <t>0930534124</t>
        </is>
      </c>
      <c r="E89" t="inlineStr">
        <is>
          <t>Sundae</t>
        </is>
      </c>
      <c r="F89" s="4" t="n">
        <v>16</v>
      </c>
      <c r="G89" t="inlineStr">
        <is>
          <t>Nuevo Lead</t>
        </is>
      </c>
      <c r="H89" t="inlineStr">
        <is>
          <t>WhatsApp</t>
        </is>
      </c>
      <c r="I89" t="inlineStr">
        <is>
          <t>Alta</t>
        </is>
      </c>
      <c r="J89" t="inlineStr">
        <is>
          <t>Preguntó por el menú</t>
        </is>
      </c>
      <c r="K89" s="2" t="n">
        <v>46151</v>
      </c>
    </row>
    <row r="90">
      <c r="A90" t="n">
        <v>89</v>
      </c>
      <c r="B90" s="2" t="n">
        <v>46098</v>
      </c>
      <c r="C90" t="inlineStr">
        <is>
          <t>Daniela Cedeño</t>
        </is>
      </c>
      <c r="D90" s="3" t="inlineStr">
        <is>
          <t>0968461818</t>
        </is>
      </c>
      <c r="E90" t="inlineStr">
        <is>
          <t>Helado con Queso</t>
        </is>
      </c>
      <c r="F90" s="4" t="n">
        <v>25</v>
      </c>
      <c r="G90" t="inlineStr">
        <is>
          <t>Ganado</t>
        </is>
      </c>
      <c r="H90" t="inlineStr">
        <is>
          <t>Google</t>
        </is>
      </c>
      <c r="I90" t="inlineStr">
        <is>
          <t>Baja</t>
        </is>
      </c>
      <c r="J90" t="inlineStr">
        <is>
          <t>Pedido entregado</t>
        </is>
      </c>
      <c r="K90" s="2" t="n"/>
    </row>
    <row r="91">
      <c r="A91" t="n">
        <v>90</v>
      </c>
      <c r="B91" s="2" t="n">
        <v>46091</v>
      </c>
      <c r="C91" t="inlineStr">
        <is>
          <t>Ricardo Salas</t>
        </is>
      </c>
      <c r="D91" s="3" t="inlineStr">
        <is>
          <t>0970505620</t>
        </is>
      </c>
      <c r="E91" t="inlineStr">
        <is>
          <t>Helado Soft</t>
        </is>
      </c>
      <c r="F91" s="4" t="n">
        <v>17</v>
      </c>
      <c r="G91" t="inlineStr">
        <is>
          <t>Contactado</t>
        </is>
      </c>
      <c r="H91" t="inlineStr">
        <is>
          <t>Instagram</t>
        </is>
      </c>
      <c r="I91" t="inlineStr">
        <is>
          <t>Media</t>
        </is>
      </c>
      <c r="J91" t="inlineStr">
        <is>
          <t>Llamada de seguimiento realizada</t>
        </is>
      </c>
      <c r="K91" s="2" t="n">
        <v>46097</v>
      </c>
    </row>
    <row r="92">
      <c r="A92" t="n">
        <v>91</v>
      </c>
      <c r="B92" s="2" t="n">
        <v>46149</v>
      </c>
      <c r="C92" t="inlineStr">
        <is>
          <t>María López</t>
        </is>
      </c>
      <c r="D92" s="3" t="inlineStr">
        <is>
          <t>0976344695</t>
        </is>
      </c>
      <c r="E92" t="inlineStr">
        <is>
          <t>Helado con Queso</t>
        </is>
      </c>
      <c r="F92" s="4" t="n">
        <v>23</v>
      </c>
      <c r="G92" t="inlineStr">
        <is>
          <t>Perdido</t>
        </is>
      </c>
      <c r="H92" t="inlineStr">
        <is>
          <t>TikTok</t>
        </is>
      </c>
      <c r="I92" t="inlineStr">
        <is>
          <t>Alta</t>
        </is>
      </c>
      <c r="J92" t="inlineStr">
        <is>
          <t>Eligió otra opción</t>
        </is>
      </c>
      <c r="K92" s="2" t="n"/>
    </row>
    <row r="93">
      <c r="A93" t="n">
        <v>92</v>
      </c>
      <c r="B93" s="2" t="n">
        <v>46095</v>
      </c>
      <c r="C93" t="inlineStr">
        <is>
          <t>Patricia González</t>
        </is>
      </c>
      <c r="D93" s="3" t="inlineStr">
        <is>
          <t>0990014570</t>
        </is>
      </c>
      <c r="E93" t="inlineStr">
        <is>
          <t>Banana Split</t>
        </is>
      </c>
      <c r="F93" s="4" t="n">
        <v>18</v>
      </c>
      <c r="G93" t="inlineStr">
        <is>
          <t>Interesado</t>
        </is>
      </c>
      <c r="H93" t="inlineStr">
        <is>
          <t>Google</t>
        </is>
      </c>
      <c r="I93" t="inlineStr">
        <is>
          <t>Media</t>
        </is>
      </c>
      <c r="J93" t="inlineStr">
        <is>
          <t>Preguntó por pedidos grandes</t>
        </is>
      </c>
      <c r="K93" s="2" t="n">
        <v>46102</v>
      </c>
    </row>
    <row r="94">
      <c r="A94" t="n">
        <v>93</v>
      </c>
      <c r="B94" s="2" t="n">
        <v>46173</v>
      </c>
      <c r="C94" t="inlineStr">
        <is>
          <t>David Suárez</t>
        </is>
      </c>
      <c r="D94" s="3" t="inlineStr">
        <is>
          <t>0964549859</t>
        </is>
      </c>
      <c r="E94" t="inlineStr">
        <is>
          <t>Waffle</t>
        </is>
      </c>
      <c r="F94" s="4" t="n">
        <v>22</v>
      </c>
      <c r="G94" t="inlineStr">
        <is>
          <t>Ganado</t>
        </is>
      </c>
      <c r="H94" t="inlineStr">
        <is>
          <t>WhatsApp</t>
        </is>
      </c>
      <c r="I94" t="inlineStr">
        <is>
          <t>Baja</t>
        </is>
      </c>
      <c r="J94" t="inlineStr">
        <is>
          <t>Compra realizada</t>
        </is>
      </c>
      <c r="K94" s="2" t="n"/>
    </row>
    <row r="95">
      <c r="A95" t="n">
        <v>94</v>
      </c>
      <c r="B95" s="2" t="n">
        <v>46115</v>
      </c>
      <c r="C95" t="inlineStr">
        <is>
          <t>Renata Morales</t>
        </is>
      </c>
      <c r="D95" s="3" t="inlineStr">
        <is>
          <t>0912314351</t>
        </is>
      </c>
      <c r="E95" t="inlineStr">
        <is>
          <t>Tulipán con Queso</t>
        </is>
      </c>
      <c r="F95" s="4" t="n">
        <v>27</v>
      </c>
      <c r="G95" t="inlineStr">
        <is>
          <t>Propuesta</t>
        </is>
      </c>
      <c r="H95" t="inlineStr">
        <is>
          <t>Facebook</t>
        </is>
      </c>
      <c r="I95" t="inlineStr">
        <is>
          <t>Media</t>
        </is>
      </c>
      <c r="J95" t="inlineStr">
        <is>
          <t>Cotización enviada</t>
        </is>
      </c>
      <c r="K95" s="2" t="n">
        <v>46124</v>
      </c>
    </row>
    <row r="96">
      <c r="A96" t="n">
        <v>95</v>
      </c>
      <c r="B96" s="2" t="n">
        <v>46166</v>
      </c>
      <c r="C96" t="inlineStr">
        <is>
          <t>Eduardo Paredes</t>
        </is>
      </c>
      <c r="D96" s="3" t="inlineStr">
        <is>
          <t>0988055069</t>
        </is>
      </c>
      <c r="E96" t="inlineStr">
        <is>
          <t>Sundae</t>
        </is>
      </c>
      <c r="F96" s="4" t="n">
        <v>15</v>
      </c>
      <c r="G96" t="inlineStr">
        <is>
          <t>Perdido</t>
        </is>
      </c>
      <c r="H96" t="inlineStr">
        <is>
          <t>TikTok</t>
        </is>
      </c>
      <c r="I96" t="inlineStr">
        <is>
          <t>Media</t>
        </is>
      </c>
      <c r="J96" t="inlineStr">
        <is>
          <t>Precio fuera de presupuesto</t>
        </is>
      </c>
      <c r="K96" s="2" t="n"/>
    </row>
    <row r="97">
      <c r="A97" t="n">
        <v>96</v>
      </c>
      <c r="B97" s="2" t="n">
        <v>46143</v>
      </c>
      <c r="C97" t="inlineStr">
        <is>
          <t>Roberto Castillo</t>
        </is>
      </c>
      <c r="D97" s="3" t="inlineStr">
        <is>
          <t>0970900658</t>
        </is>
      </c>
      <c r="E97" t="inlineStr">
        <is>
          <t>Helado con Queso</t>
        </is>
      </c>
      <c r="F97" s="4" t="n">
        <v>26</v>
      </c>
      <c r="G97" t="inlineStr">
        <is>
          <t>Interesado</t>
        </is>
      </c>
      <c r="H97" t="inlineStr">
        <is>
          <t>TikTok</t>
        </is>
      </c>
      <c r="I97" t="inlineStr">
        <is>
          <t>Media</t>
        </is>
      </c>
      <c r="J97" t="inlineStr">
        <is>
          <t>Pidió muestra</t>
        </is>
      </c>
      <c r="K97" s="2" t="n">
        <v>46150</v>
      </c>
    </row>
    <row r="98">
      <c r="A98" t="n">
        <v>97</v>
      </c>
      <c r="B98" s="2" t="n">
        <v>46105</v>
      </c>
      <c r="C98" t="inlineStr">
        <is>
          <t>Luis Vera</t>
        </is>
      </c>
      <c r="D98" s="3" t="inlineStr">
        <is>
          <t>0981922443</t>
        </is>
      </c>
      <c r="E98" t="inlineStr">
        <is>
          <t>Banana Split</t>
        </is>
      </c>
      <c r="F98" s="4" t="n">
        <v>17</v>
      </c>
      <c r="G98" t="inlineStr">
        <is>
          <t>Nuevo Lead</t>
        </is>
      </c>
      <c r="H98" t="inlineStr">
        <is>
          <t>Google</t>
        </is>
      </c>
      <c r="I98" t="inlineStr">
        <is>
          <t>Alta</t>
        </is>
      </c>
      <c r="J98" t="inlineStr">
        <is>
          <t>Primera consulta</t>
        </is>
      </c>
      <c r="K98" s="2" t="n">
        <v>46112</v>
      </c>
    </row>
    <row r="99">
      <c r="A99" t="n">
        <v>98</v>
      </c>
      <c r="B99" s="2" t="n">
        <v>46136</v>
      </c>
      <c r="C99" t="inlineStr">
        <is>
          <t>Mateo Bravo</t>
        </is>
      </c>
      <c r="D99" s="3" t="inlineStr">
        <is>
          <t>0989133014</t>
        </is>
      </c>
      <c r="E99" t="inlineStr">
        <is>
          <t>Banana Split</t>
        </is>
      </c>
      <c r="F99" s="4" t="n">
        <v>18</v>
      </c>
      <c r="G99" t="inlineStr">
        <is>
          <t>Perdido</t>
        </is>
      </c>
      <c r="H99" t="inlineStr">
        <is>
          <t>Referido</t>
        </is>
      </c>
      <c r="I99" t="inlineStr">
        <is>
          <t>Baja</t>
        </is>
      </c>
      <c r="J99" t="inlineStr">
        <is>
          <t>Eligió otra opción</t>
        </is>
      </c>
      <c r="K99" s="2" t="n"/>
    </row>
    <row r="100">
      <c r="A100" t="n">
        <v>99</v>
      </c>
      <c r="B100" s="2" t="n">
        <v>46160</v>
      </c>
      <c r="C100" t="inlineStr">
        <is>
          <t>Juan Tomalá</t>
        </is>
      </c>
      <c r="D100" s="3" t="inlineStr">
        <is>
          <t>0950569669</t>
        </is>
      </c>
      <c r="E100" t="inlineStr">
        <is>
          <t>Waffle</t>
        </is>
      </c>
      <c r="F100" s="4" t="n">
        <v>24</v>
      </c>
      <c r="G100" t="inlineStr">
        <is>
          <t>Contactado</t>
        </is>
      </c>
      <c r="H100" t="inlineStr">
        <is>
          <t>Facebook</t>
        </is>
      </c>
      <c r="I100" t="inlineStr">
        <is>
          <t>Baja</t>
        </is>
      </c>
      <c r="J100" t="inlineStr">
        <is>
          <t>Llamada de seguimiento realizada</t>
        </is>
      </c>
      <c r="K100" s="2" t="n">
        <v>46167</v>
      </c>
    </row>
    <row r="101">
      <c r="A101" t="n">
        <v>100</v>
      </c>
      <c r="B101" s="2" t="n">
        <v>46192</v>
      </c>
      <c r="C101" t="inlineStr">
        <is>
          <t>Jorge Mendoza</t>
        </is>
      </c>
      <c r="D101" s="3" t="inlineStr">
        <is>
          <t>0926948946</t>
        </is>
      </c>
      <c r="E101" t="inlineStr">
        <is>
          <t>Banana Split</t>
        </is>
      </c>
      <c r="F101" s="4" t="n">
        <v>14</v>
      </c>
      <c r="G101" t="inlineStr">
        <is>
          <t>Interesado</t>
        </is>
      </c>
      <c r="H101" t="inlineStr">
        <is>
          <t>Google</t>
        </is>
      </c>
      <c r="I101" t="inlineStr">
        <is>
          <t>Media</t>
        </is>
      </c>
      <c r="J101" t="inlineStr">
        <is>
          <t>Interesado en promoción</t>
        </is>
      </c>
      <c r="K101" s="2" t="n">
        <v>46202</v>
      </c>
    </row>
    <row r="102">
      <c r="A102" t="n">
        <v>101</v>
      </c>
      <c r="B102" s="2" t="n">
        <v>46161</v>
      </c>
      <c r="C102" t="inlineStr">
        <is>
          <t>Fernando Vega</t>
        </is>
      </c>
      <c r="D102" s="3" t="inlineStr">
        <is>
          <t>0969118721</t>
        </is>
      </c>
      <c r="E102" t="inlineStr">
        <is>
          <t>Waffle</t>
        </is>
      </c>
      <c r="F102" s="4" t="n">
        <v>28</v>
      </c>
      <c r="G102" t="inlineStr">
        <is>
          <t>Ganado</t>
        </is>
      </c>
      <c r="H102" t="inlineStr">
        <is>
          <t>TikTok</t>
        </is>
      </c>
      <c r="I102" t="inlineStr">
        <is>
          <t>Alta</t>
        </is>
      </c>
      <c r="J102" t="inlineStr">
        <is>
          <t>Compra realizada</t>
        </is>
      </c>
      <c r="K102" s="2" t="n"/>
    </row>
    <row r="103">
      <c r="A103" t="n">
        <v>102</v>
      </c>
      <c r="B103" s="2" t="n">
        <v>46183</v>
      </c>
      <c r="C103" t="inlineStr">
        <is>
          <t>Fernando Vega</t>
        </is>
      </c>
      <c r="D103" s="3" t="inlineStr">
        <is>
          <t>0919943140</t>
        </is>
      </c>
      <c r="E103" t="inlineStr">
        <is>
          <t>Helado Soft</t>
        </is>
      </c>
      <c r="F103" s="4" t="n">
        <v>17</v>
      </c>
      <c r="G103" t="inlineStr">
        <is>
          <t>Propuesta</t>
        </is>
      </c>
      <c r="H103" t="inlineStr">
        <is>
          <t>Referido</t>
        </is>
      </c>
      <c r="I103" t="inlineStr">
        <is>
          <t>Baja</t>
        </is>
      </c>
      <c r="J103" t="inlineStr">
        <is>
          <t>Cotización enviada</t>
        </is>
      </c>
      <c r="K103" s="2" t="n">
        <v>46191</v>
      </c>
    </row>
    <row r="104">
      <c r="A104" t="n">
        <v>103</v>
      </c>
      <c r="B104" s="2" t="n">
        <v>46094</v>
      </c>
      <c r="C104" t="inlineStr">
        <is>
          <t>Andrea Torres</t>
        </is>
      </c>
      <c r="D104" s="3" t="inlineStr">
        <is>
          <t>0943311626</t>
        </is>
      </c>
      <c r="E104" t="inlineStr">
        <is>
          <t>Banana Split</t>
        </is>
      </c>
      <c r="F104" s="4" t="n">
        <v>23</v>
      </c>
      <c r="G104" t="inlineStr">
        <is>
          <t>Contactado</t>
        </is>
      </c>
      <c r="H104" t="inlineStr">
        <is>
          <t>Facebook</t>
        </is>
      </c>
      <c r="I104" t="inlineStr">
        <is>
          <t>Baja</t>
        </is>
      </c>
      <c r="J104" t="inlineStr">
        <is>
          <t>Se le envió catálogo</t>
        </is>
      </c>
      <c r="K104" s="2" t="n">
        <v>46100</v>
      </c>
    </row>
    <row r="105">
      <c r="A105" t="n">
        <v>104</v>
      </c>
      <c r="B105" s="2" t="n">
        <v>46096</v>
      </c>
      <c r="C105" t="inlineStr">
        <is>
          <t>David Suárez</t>
        </is>
      </c>
      <c r="D105" s="3" t="inlineStr">
        <is>
          <t>0980138498</t>
        </is>
      </c>
      <c r="E105" t="inlineStr">
        <is>
          <t>Helado con Queso</t>
        </is>
      </c>
      <c r="F105" s="4" t="n">
        <v>27</v>
      </c>
      <c r="G105" t="inlineStr">
        <is>
          <t>Ganado</t>
        </is>
      </c>
      <c r="H105" t="inlineStr">
        <is>
          <t>WhatsApp</t>
        </is>
      </c>
      <c r="I105" t="inlineStr">
        <is>
          <t>Media</t>
        </is>
      </c>
      <c r="J105" t="inlineStr">
        <is>
          <t>Pedido entregado</t>
        </is>
      </c>
      <c r="K105" s="2" t="n"/>
    </row>
    <row r="106">
      <c r="A106" t="n">
        <v>105</v>
      </c>
      <c r="B106" s="2" t="n">
        <v>46143</v>
      </c>
      <c r="C106" t="inlineStr">
        <is>
          <t>Camila Vargas</t>
        </is>
      </c>
      <c r="D106" s="3" t="inlineStr">
        <is>
          <t>0993352876</t>
        </is>
      </c>
      <c r="E106" t="inlineStr">
        <is>
          <t>Helado Soft</t>
        </is>
      </c>
      <c r="F106" s="4" t="n">
        <v>20</v>
      </c>
      <c r="G106" t="inlineStr">
        <is>
          <t>Ganado</t>
        </is>
      </c>
      <c r="H106" t="inlineStr">
        <is>
          <t>Facebook</t>
        </is>
      </c>
      <c r="I106" t="inlineStr">
        <is>
          <t>Baja</t>
        </is>
      </c>
      <c r="J106" t="inlineStr">
        <is>
          <t>Cliente satisfecho</t>
        </is>
      </c>
      <c r="K106" s="2" t="n"/>
    </row>
    <row r="107">
      <c r="A107" t="n">
        <v>106</v>
      </c>
      <c r="B107" s="2" t="n">
        <v>46117</v>
      </c>
      <c r="C107" t="inlineStr">
        <is>
          <t>Eduardo Paredes</t>
        </is>
      </c>
      <c r="D107" s="3" t="inlineStr">
        <is>
          <t>0920896797</t>
        </is>
      </c>
      <c r="E107" t="inlineStr">
        <is>
          <t>Waffle</t>
        </is>
      </c>
      <c r="F107" s="4" t="n">
        <v>24</v>
      </c>
      <c r="G107" t="inlineStr">
        <is>
          <t>Contactado</t>
        </is>
      </c>
      <c r="H107" t="inlineStr">
        <is>
          <t>Instagram</t>
        </is>
      </c>
      <c r="I107" t="inlineStr">
        <is>
          <t>Alta</t>
        </is>
      </c>
      <c r="J107" t="inlineStr">
        <is>
          <t>Solicitó precios</t>
        </is>
      </c>
      <c r="K107" s="2" t="n">
        <v>46123</v>
      </c>
    </row>
    <row r="108">
      <c r="A108" t="n">
        <v>107</v>
      </c>
      <c r="B108" s="2" t="n">
        <v>46177</v>
      </c>
      <c r="C108" t="inlineStr">
        <is>
          <t>Daniela Cedeño</t>
        </is>
      </c>
      <c r="D108" s="3" t="inlineStr">
        <is>
          <t>0989699989</t>
        </is>
      </c>
      <c r="E108" t="inlineStr">
        <is>
          <t>Helado con Queso</t>
        </is>
      </c>
      <c r="F108" s="4" t="n">
        <v>18</v>
      </c>
      <c r="G108" t="inlineStr">
        <is>
          <t>Nuevo Lead</t>
        </is>
      </c>
      <c r="H108" t="inlineStr">
        <is>
          <t>WhatsApp</t>
        </is>
      </c>
      <c r="I108" t="inlineStr">
        <is>
          <t>Media</t>
        </is>
      </c>
      <c r="J108" t="inlineStr">
        <is>
          <t>Consultó precios</t>
        </is>
      </c>
      <c r="K108" s="2" t="n">
        <v>46185</v>
      </c>
    </row>
    <row r="109">
      <c r="A109" t="n">
        <v>108</v>
      </c>
      <c r="B109" s="2" t="n">
        <v>46107</v>
      </c>
      <c r="C109" t="inlineStr">
        <is>
          <t>Andrea Torres</t>
        </is>
      </c>
      <c r="D109" s="3" t="inlineStr">
        <is>
          <t>0941329612</t>
        </is>
      </c>
      <c r="E109" t="inlineStr">
        <is>
          <t>Banana Split</t>
        </is>
      </c>
      <c r="F109" s="4" t="n">
        <v>18</v>
      </c>
      <c r="G109" t="inlineStr">
        <is>
          <t>Interesado</t>
        </is>
      </c>
      <c r="H109" t="inlineStr">
        <is>
          <t>TikTok</t>
        </is>
      </c>
      <c r="I109" t="inlineStr">
        <is>
          <t>Baja</t>
        </is>
      </c>
      <c r="J109" t="inlineStr">
        <is>
          <t>Preguntó por pedidos grandes</t>
        </is>
      </c>
      <c r="K109" s="2" t="n">
        <v>46116</v>
      </c>
    </row>
    <row r="110">
      <c r="A110" t="n">
        <v>109</v>
      </c>
      <c r="B110" s="2" t="n">
        <v>46143</v>
      </c>
      <c r="C110" t="inlineStr">
        <is>
          <t>David Suárez</t>
        </is>
      </c>
      <c r="D110" s="3" t="inlineStr">
        <is>
          <t>0996924061</t>
        </is>
      </c>
      <c r="E110" t="inlineStr">
        <is>
          <t>Tulipán con Queso</t>
        </is>
      </c>
      <c r="F110" s="4" t="n">
        <v>21</v>
      </c>
      <c r="G110" t="inlineStr">
        <is>
          <t>Contactado</t>
        </is>
      </c>
      <c r="H110" t="inlineStr">
        <is>
          <t>Instagram</t>
        </is>
      </c>
      <c r="I110" t="inlineStr">
        <is>
          <t>Media</t>
        </is>
      </c>
      <c r="J110" t="inlineStr">
        <is>
          <t>Solicitó precios</t>
        </is>
      </c>
      <c r="K110" s="2" t="n">
        <v>46153</v>
      </c>
    </row>
    <row r="111">
      <c r="A111" t="n">
        <v>110</v>
      </c>
      <c r="B111" s="2" t="n">
        <v>46176</v>
      </c>
      <c r="C111" t="inlineStr">
        <is>
          <t>Daniela Cedeño</t>
        </is>
      </c>
      <c r="D111" s="3" t="inlineStr">
        <is>
          <t>0926690465</t>
        </is>
      </c>
      <c r="E111" t="inlineStr">
        <is>
          <t>Waffle</t>
        </is>
      </c>
      <c r="F111" s="4" t="n">
        <v>25</v>
      </c>
      <c r="G111" t="inlineStr">
        <is>
          <t>Nuevo Lead</t>
        </is>
      </c>
      <c r="H111" t="inlineStr">
        <is>
          <t>WhatsApp</t>
        </is>
      </c>
      <c r="I111" t="inlineStr">
        <is>
          <t>Baja</t>
        </is>
      </c>
      <c r="J111" t="inlineStr">
        <is>
          <t>Preguntó por el menú</t>
        </is>
      </c>
      <c r="K111" s="2" t="n">
        <v>46182</v>
      </c>
    </row>
    <row r="112">
      <c r="A112" t="n">
        <v>111</v>
      </c>
      <c r="B112" s="2" t="n">
        <v>46077</v>
      </c>
      <c r="C112" t="inlineStr">
        <is>
          <t>Tomás Herrera</t>
        </is>
      </c>
      <c r="D112" s="3" t="inlineStr">
        <is>
          <t>0976276072</t>
        </is>
      </c>
      <c r="E112" t="inlineStr">
        <is>
          <t>Tulipán con Queso</t>
        </is>
      </c>
      <c r="F112" s="4" t="n">
        <v>24</v>
      </c>
      <c r="G112" t="inlineStr">
        <is>
          <t>Propuesta</t>
        </is>
      </c>
      <c r="H112" t="inlineStr">
        <is>
          <t>WhatsApp</t>
        </is>
      </c>
      <c r="I112" t="inlineStr">
        <is>
          <t>Alta</t>
        </is>
      </c>
      <c r="J112" t="inlineStr">
        <is>
          <t>Cotización enviada</t>
        </is>
      </c>
      <c r="K112" s="2" t="n">
        <v>46087</v>
      </c>
    </row>
    <row r="113">
      <c r="A113" t="n">
        <v>112</v>
      </c>
      <c r="B113" s="2" t="n">
        <v>46156</v>
      </c>
      <c r="C113" t="inlineStr">
        <is>
          <t>Patricia González</t>
        </is>
      </c>
      <c r="D113" s="3" t="inlineStr">
        <is>
          <t>0913471527</t>
        </is>
      </c>
      <c r="E113" t="inlineStr">
        <is>
          <t>Sundae</t>
        </is>
      </c>
      <c r="F113" s="4" t="n">
        <v>20</v>
      </c>
      <c r="G113" t="inlineStr">
        <is>
          <t>Perdido</t>
        </is>
      </c>
      <c r="H113" t="inlineStr">
        <is>
          <t>Facebook</t>
        </is>
      </c>
      <c r="I113" t="inlineStr">
        <is>
          <t>Alta</t>
        </is>
      </c>
      <c r="J113" t="inlineStr">
        <is>
          <t>Precio fuera de presupuesto</t>
        </is>
      </c>
      <c r="K113" s="2" t="n"/>
    </row>
    <row r="114">
      <c r="A114" t="n">
        <v>113</v>
      </c>
      <c r="B114" s="2" t="n">
        <v>46195</v>
      </c>
      <c r="C114" t="inlineStr">
        <is>
          <t>Iván Cabrera</t>
        </is>
      </c>
      <c r="D114" s="3" t="inlineStr">
        <is>
          <t>0946173157</t>
        </is>
      </c>
      <c r="E114" t="inlineStr">
        <is>
          <t>Helado con Queso</t>
        </is>
      </c>
      <c r="F114" s="4" t="n">
        <v>28</v>
      </c>
      <c r="G114" t="inlineStr">
        <is>
          <t>Ganado</t>
        </is>
      </c>
      <c r="H114" t="inlineStr">
        <is>
          <t>Referido</t>
        </is>
      </c>
      <c r="I114" t="inlineStr">
        <is>
          <t>Alta</t>
        </is>
      </c>
      <c r="J114" t="inlineStr">
        <is>
          <t>Compra realizada</t>
        </is>
      </c>
      <c r="K114" s="2" t="n"/>
    </row>
    <row r="115">
      <c r="A115" t="n">
        <v>114</v>
      </c>
      <c r="B115" s="2" t="n">
        <v>46114</v>
      </c>
      <c r="C115" t="inlineStr">
        <is>
          <t>Valentina Gómez</t>
        </is>
      </c>
      <c r="D115" s="3" t="inlineStr">
        <is>
          <t>0947333543</t>
        </is>
      </c>
      <c r="E115" t="inlineStr">
        <is>
          <t>Sundae</t>
        </is>
      </c>
      <c r="F115" s="4" t="n">
        <v>18</v>
      </c>
      <c r="G115" t="inlineStr">
        <is>
          <t>Ganado</t>
        </is>
      </c>
      <c r="H115" t="inlineStr">
        <is>
          <t>Instagram</t>
        </is>
      </c>
      <c r="I115" t="inlineStr">
        <is>
          <t>Baja</t>
        </is>
      </c>
      <c r="J115" t="inlineStr">
        <is>
          <t>Pedido entregado</t>
        </is>
      </c>
      <c r="K115" s="2" t="n"/>
    </row>
    <row r="116">
      <c r="A116" t="n">
        <v>115</v>
      </c>
      <c r="B116" s="2" t="n">
        <v>46186</v>
      </c>
      <c r="C116" t="inlineStr">
        <is>
          <t>Kevin Rodríguez</t>
        </is>
      </c>
      <c r="D116" s="3" t="inlineStr">
        <is>
          <t>0954735895</t>
        </is>
      </c>
      <c r="E116" t="inlineStr">
        <is>
          <t>Tulipán con Queso</t>
        </is>
      </c>
      <c r="F116" s="4" t="n">
        <v>27</v>
      </c>
      <c r="G116" t="inlineStr">
        <is>
          <t>Propuesta</t>
        </is>
      </c>
      <c r="H116" t="inlineStr">
        <is>
          <t>TikTok</t>
        </is>
      </c>
      <c r="I116" t="inlineStr">
        <is>
          <t>Baja</t>
        </is>
      </c>
      <c r="J116" t="inlineStr">
        <is>
          <t>Cotización enviada</t>
        </is>
      </c>
      <c r="K116" s="2" t="n">
        <v>46193</v>
      </c>
    </row>
    <row r="117">
      <c r="A117" t="n">
        <v>116</v>
      </c>
      <c r="B117" s="2" t="n">
        <v>46145</v>
      </c>
      <c r="C117" t="inlineStr">
        <is>
          <t>Eduardo Paredes</t>
        </is>
      </c>
      <c r="D117" s="3" t="inlineStr">
        <is>
          <t>0963747791</t>
        </is>
      </c>
      <c r="E117" t="inlineStr">
        <is>
          <t>Banana Split</t>
        </is>
      </c>
      <c r="F117" s="4" t="n">
        <v>21</v>
      </c>
      <c r="G117" t="inlineStr">
        <is>
          <t>Interesado</t>
        </is>
      </c>
      <c r="H117" t="inlineStr">
        <is>
          <t>Referido</t>
        </is>
      </c>
      <c r="I117" t="inlineStr">
        <is>
          <t>Alta</t>
        </is>
      </c>
      <c r="J117" t="inlineStr">
        <is>
          <t>Pidió muestra</t>
        </is>
      </c>
      <c r="K117" s="2" t="n">
        <v>46151</v>
      </c>
    </row>
    <row r="118">
      <c r="A118" t="n">
        <v>117</v>
      </c>
      <c r="B118" s="2" t="n">
        <v>46165</v>
      </c>
      <c r="C118" t="inlineStr">
        <is>
          <t>Joaquín Reyes</t>
        </is>
      </c>
      <c r="D118" s="3" t="inlineStr">
        <is>
          <t>0964247457</t>
        </is>
      </c>
      <c r="E118" t="inlineStr">
        <is>
          <t>Waffle</t>
        </is>
      </c>
      <c r="F118" s="4" t="n">
        <v>26</v>
      </c>
      <c r="G118" t="inlineStr">
        <is>
          <t>Interesado</t>
        </is>
      </c>
      <c r="H118" t="inlineStr">
        <is>
          <t>Referido</t>
        </is>
      </c>
      <c r="I118" t="inlineStr">
        <is>
          <t>Alta</t>
        </is>
      </c>
      <c r="J118" t="inlineStr">
        <is>
          <t>Preguntó por pedidos grandes</t>
        </is>
      </c>
      <c r="K118" s="2" t="n">
        <v>46168</v>
      </c>
    </row>
    <row r="119">
      <c r="A119" t="n">
        <v>118</v>
      </c>
      <c r="B119" s="2" t="n">
        <v>46145</v>
      </c>
      <c r="C119" t="inlineStr">
        <is>
          <t>Isabel Navarro</t>
        </is>
      </c>
      <c r="D119" s="3" t="inlineStr">
        <is>
          <t>0958557203</t>
        </is>
      </c>
      <c r="E119" t="inlineStr">
        <is>
          <t>Helado con Queso</t>
        </is>
      </c>
      <c r="F119" s="4" t="n">
        <v>18</v>
      </c>
      <c r="G119" t="inlineStr">
        <is>
          <t>Propuesta</t>
        </is>
      </c>
      <c r="H119" t="inlineStr">
        <is>
          <t>Referido</t>
        </is>
      </c>
      <c r="I119" t="inlineStr">
        <is>
          <t>Media</t>
        </is>
      </c>
      <c r="J119" t="inlineStr">
        <is>
          <t>Esperando confirmación de pedido</t>
        </is>
      </c>
      <c r="K119" s="2" t="n">
        <v>46150</v>
      </c>
    </row>
    <row r="120">
      <c r="A120" t="n">
        <v>119</v>
      </c>
      <c r="B120" s="2" t="n">
        <v>46163</v>
      </c>
      <c r="C120" t="inlineStr">
        <is>
          <t>Valentina Gómez</t>
        </is>
      </c>
      <c r="D120" s="3" t="inlineStr">
        <is>
          <t>0948658617</t>
        </is>
      </c>
      <c r="E120" t="inlineStr">
        <is>
          <t>Waffle</t>
        </is>
      </c>
      <c r="F120" s="4" t="n">
        <v>29</v>
      </c>
      <c r="G120" t="inlineStr">
        <is>
          <t>Contactado</t>
        </is>
      </c>
      <c r="H120" t="inlineStr">
        <is>
          <t>WhatsApp</t>
        </is>
      </c>
      <c r="I120" t="inlineStr">
        <is>
          <t>Baja</t>
        </is>
      </c>
      <c r="J120" t="inlineStr">
        <is>
          <t>Se le envió catálogo</t>
        </is>
      </c>
      <c r="K120" s="2" t="n">
        <v>46167</v>
      </c>
    </row>
    <row r="121">
      <c r="A121" t="n">
        <v>120</v>
      </c>
      <c r="B121" s="2" t="n">
        <v>46117</v>
      </c>
      <c r="C121" t="inlineStr">
        <is>
          <t>Lucía Fonseca</t>
        </is>
      </c>
      <c r="D121" s="3" t="inlineStr">
        <is>
          <t>0931257157</t>
        </is>
      </c>
      <c r="E121" t="inlineStr">
        <is>
          <t>Waffle</t>
        </is>
      </c>
      <c r="F121" s="4" t="n">
        <v>30</v>
      </c>
      <c r="G121" t="inlineStr">
        <is>
          <t>Nuevo Lead</t>
        </is>
      </c>
      <c r="H121" t="inlineStr">
        <is>
          <t>TikTok</t>
        </is>
      </c>
      <c r="I121" t="inlineStr">
        <is>
          <t>Baja</t>
        </is>
      </c>
      <c r="J121" t="inlineStr">
        <is>
          <t>Consultó precios</t>
        </is>
      </c>
      <c r="K121" s="2" t="n">
        <v>46122</v>
      </c>
    </row>
    <row r="122">
      <c r="A122" t="n">
        <v>121</v>
      </c>
      <c r="B122" s="2" t="n">
        <v>46186</v>
      </c>
      <c r="C122" t="inlineStr">
        <is>
          <t>Daniela Cedeño</t>
        </is>
      </c>
      <c r="D122" s="3" t="inlineStr">
        <is>
          <t>0925766039</t>
        </is>
      </c>
      <c r="E122" t="inlineStr">
        <is>
          <t>Helado con Queso</t>
        </is>
      </c>
      <c r="F122" s="4" t="n">
        <v>21</v>
      </c>
      <c r="G122" t="inlineStr">
        <is>
          <t>Propuesta</t>
        </is>
      </c>
      <c r="H122" t="inlineStr">
        <is>
          <t>Google</t>
        </is>
      </c>
      <c r="I122" t="inlineStr">
        <is>
          <t>Alta</t>
        </is>
      </c>
      <c r="J122" t="inlineStr">
        <is>
          <t>Esperando confirmación de pedido</t>
        </is>
      </c>
      <c r="K122" s="2" t="n">
        <v>46189</v>
      </c>
    </row>
    <row r="123">
      <c r="A123" t="n">
        <v>122</v>
      </c>
      <c r="B123" s="2" t="n">
        <v>46132</v>
      </c>
      <c r="C123" t="inlineStr">
        <is>
          <t>Iván Cabrera</t>
        </is>
      </c>
      <c r="D123" s="3" t="inlineStr">
        <is>
          <t>0974759996</t>
        </is>
      </c>
      <c r="E123" t="inlineStr">
        <is>
          <t>Tulipán con Queso</t>
        </is>
      </c>
      <c r="F123" s="4" t="n">
        <v>24</v>
      </c>
      <c r="G123" t="inlineStr">
        <is>
          <t>Interesado</t>
        </is>
      </c>
      <c r="H123" t="inlineStr">
        <is>
          <t>WhatsApp</t>
        </is>
      </c>
      <c r="I123" t="inlineStr">
        <is>
          <t>Alta</t>
        </is>
      </c>
      <c r="J123" t="inlineStr">
        <is>
          <t>Pidió muestra</t>
        </is>
      </c>
      <c r="K123" s="2" t="n">
        <v>46140</v>
      </c>
    </row>
    <row r="124">
      <c r="A124" t="n">
        <v>123</v>
      </c>
      <c r="B124" s="2" t="n">
        <v>46148</v>
      </c>
      <c r="C124" t="inlineStr">
        <is>
          <t>Mateo Bravo</t>
        </is>
      </c>
      <c r="D124" s="3" t="inlineStr">
        <is>
          <t>0928321839</t>
        </is>
      </c>
      <c r="E124" t="inlineStr">
        <is>
          <t>Helado con Queso</t>
        </is>
      </c>
      <c r="F124" s="4" t="n">
        <v>21</v>
      </c>
      <c r="G124" t="inlineStr">
        <is>
          <t>Contactado</t>
        </is>
      </c>
      <c r="H124" t="inlineStr">
        <is>
          <t>Facebook</t>
        </is>
      </c>
      <c r="I124" t="inlineStr">
        <is>
          <t>Media</t>
        </is>
      </c>
      <c r="J124" t="inlineStr">
        <is>
          <t>Se le envió catálogo</t>
        </is>
      </c>
      <c r="K124" s="2" t="n">
        <v>46158</v>
      </c>
    </row>
    <row r="125">
      <c r="A125" t="n">
        <v>124</v>
      </c>
      <c r="B125" s="2" t="n">
        <v>46163</v>
      </c>
      <c r="C125" t="inlineStr">
        <is>
          <t>Jorge Mendoza</t>
        </is>
      </c>
      <c r="D125" s="3" t="inlineStr">
        <is>
          <t>0950071487</t>
        </is>
      </c>
      <c r="E125" t="inlineStr">
        <is>
          <t>Helado Soft</t>
        </is>
      </c>
      <c r="F125" s="4" t="n">
        <v>16</v>
      </c>
      <c r="G125" t="inlineStr">
        <is>
          <t>Ganado</t>
        </is>
      </c>
      <c r="H125" t="inlineStr">
        <is>
          <t>Referido</t>
        </is>
      </c>
      <c r="I125" t="inlineStr">
        <is>
          <t>Baja</t>
        </is>
      </c>
      <c r="J125" t="inlineStr">
        <is>
          <t>Cliente satisfecho</t>
        </is>
      </c>
      <c r="K125" s="2" t="n"/>
    </row>
    <row r="126">
      <c r="A126" t="n">
        <v>125</v>
      </c>
      <c r="B126" s="2" t="n">
        <v>46140</v>
      </c>
      <c r="C126" t="inlineStr">
        <is>
          <t>Roberto Castillo</t>
        </is>
      </c>
      <c r="D126" s="3" t="inlineStr">
        <is>
          <t>0954619335</t>
        </is>
      </c>
      <c r="E126" t="inlineStr">
        <is>
          <t>Sundae</t>
        </is>
      </c>
      <c r="F126" s="4" t="n">
        <v>19</v>
      </c>
      <c r="G126" t="inlineStr">
        <is>
          <t>Contactado</t>
        </is>
      </c>
      <c r="H126" t="inlineStr">
        <is>
          <t>Referido</t>
        </is>
      </c>
      <c r="I126" t="inlineStr">
        <is>
          <t>Baja</t>
        </is>
      </c>
      <c r="J126" t="inlineStr">
        <is>
          <t>Se le envió catálogo</t>
        </is>
      </c>
      <c r="K126" s="2" t="n">
        <v>46149</v>
      </c>
    </row>
    <row r="127">
      <c r="A127" t="n">
        <v>126</v>
      </c>
      <c r="B127" s="2" t="n">
        <v>46086</v>
      </c>
      <c r="C127" t="inlineStr">
        <is>
          <t>Camila Vargas</t>
        </is>
      </c>
      <c r="D127" s="3" t="inlineStr">
        <is>
          <t>0961401477</t>
        </is>
      </c>
      <c r="E127" t="inlineStr">
        <is>
          <t>Sundae</t>
        </is>
      </c>
      <c r="F127" s="4" t="n">
        <v>14</v>
      </c>
      <c r="G127" t="inlineStr">
        <is>
          <t>Interesado</t>
        </is>
      </c>
      <c r="H127" t="inlineStr">
        <is>
          <t>Instagram</t>
        </is>
      </c>
      <c r="I127" t="inlineStr">
        <is>
          <t>Media</t>
        </is>
      </c>
      <c r="J127" t="inlineStr">
        <is>
          <t>Interesado en promoción</t>
        </is>
      </c>
      <c r="K127" s="2" t="n">
        <v>46091</v>
      </c>
    </row>
    <row r="128">
      <c r="A128" t="n">
        <v>127</v>
      </c>
      <c r="B128" s="2" t="n">
        <v>46137</v>
      </c>
      <c r="C128" t="inlineStr">
        <is>
          <t>Sofía López</t>
        </is>
      </c>
      <c r="D128" s="3" t="inlineStr">
        <is>
          <t>0999078806</t>
        </is>
      </c>
      <c r="E128" t="inlineStr">
        <is>
          <t>Helado Soft</t>
        </is>
      </c>
      <c r="F128" s="4" t="n">
        <v>22</v>
      </c>
      <c r="G128" t="inlineStr">
        <is>
          <t>Perdido</t>
        </is>
      </c>
      <c r="H128" t="inlineStr">
        <is>
          <t>Google</t>
        </is>
      </c>
      <c r="I128" t="inlineStr">
        <is>
          <t>Alta</t>
        </is>
      </c>
      <c r="J128" t="inlineStr">
        <is>
          <t>Eligió otra opción</t>
        </is>
      </c>
      <c r="K128" s="2" t="n"/>
    </row>
    <row r="129">
      <c r="A129" t="n">
        <v>128</v>
      </c>
      <c r="B129" s="2" t="n">
        <v>46133</v>
      </c>
      <c r="C129" t="inlineStr">
        <is>
          <t>Gabriela Ortiz</t>
        </is>
      </c>
      <c r="D129" s="3" t="inlineStr">
        <is>
          <t>0923470708</t>
        </is>
      </c>
      <c r="E129" t="inlineStr">
        <is>
          <t>Waffle</t>
        </is>
      </c>
      <c r="F129" s="4" t="n">
        <v>30</v>
      </c>
      <c r="G129" t="inlineStr">
        <is>
          <t>Contactado</t>
        </is>
      </c>
      <c r="H129" t="inlineStr">
        <is>
          <t>WhatsApp</t>
        </is>
      </c>
      <c r="I129" t="inlineStr">
        <is>
          <t>Alta</t>
        </is>
      </c>
      <c r="J129" t="inlineStr">
        <is>
          <t>Llamada de seguimiento realizada</t>
        </is>
      </c>
      <c r="K129" s="2" t="n">
        <v>46140</v>
      </c>
    </row>
    <row r="130">
      <c r="A130" t="n">
        <v>129</v>
      </c>
      <c r="B130" s="2" t="n">
        <v>46105</v>
      </c>
      <c r="C130" t="inlineStr">
        <is>
          <t>Gabriela Ortiz</t>
        </is>
      </c>
      <c r="D130" s="3" t="inlineStr">
        <is>
          <t>0997883261</t>
        </is>
      </c>
      <c r="E130" t="inlineStr">
        <is>
          <t>Sundae</t>
        </is>
      </c>
      <c r="F130" s="4" t="n">
        <v>13</v>
      </c>
      <c r="G130" t="inlineStr">
        <is>
          <t>Nuevo Lead</t>
        </is>
      </c>
      <c r="H130" t="inlineStr">
        <is>
          <t>Instagram</t>
        </is>
      </c>
      <c r="I130" t="inlineStr">
        <is>
          <t>Alta</t>
        </is>
      </c>
      <c r="J130" t="inlineStr">
        <is>
          <t>Escribió por redes</t>
        </is>
      </c>
      <c r="K130" s="2" t="n">
        <v>46113</v>
      </c>
    </row>
    <row r="131">
      <c r="A131" t="n">
        <v>130</v>
      </c>
      <c r="B131" s="2" t="n">
        <v>46118</v>
      </c>
      <c r="C131" t="inlineStr">
        <is>
          <t>Gabriela Ortiz</t>
        </is>
      </c>
      <c r="D131" s="3" t="inlineStr">
        <is>
          <t>0954099326</t>
        </is>
      </c>
      <c r="E131" t="inlineStr">
        <is>
          <t>Helado Soft</t>
        </is>
      </c>
      <c r="F131" s="4" t="n">
        <v>22</v>
      </c>
      <c r="G131" t="inlineStr">
        <is>
          <t>Interesado</t>
        </is>
      </c>
      <c r="H131" t="inlineStr">
        <is>
          <t>Google</t>
        </is>
      </c>
      <c r="I131" t="inlineStr">
        <is>
          <t>Baja</t>
        </is>
      </c>
      <c r="J131" t="inlineStr">
        <is>
          <t>Pidió muestra</t>
        </is>
      </c>
      <c r="K131" s="2" t="n">
        <v>46121</v>
      </c>
    </row>
  </sheetData>
  <conditionalFormatting sqref="G2:G131">
    <cfRule type="cellIs" priority="1" operator="equal" dxfId="0">
      <formula>"Nuevo Lead"</formula>
    </cfRule>
    <cfRule type="cellIs" priority="2" operator="equal" dxfId="1">
      <formula>"Contactado"</formula>
    </cfRule>
    <cfRule type="cellIs" priority="3" operator="equal" dxfId="2">
      <formula>"Interesado"</formula>
    </cfRule>
    <cfRule type="cellIs" priority="4" operator="equal" dxfId="3">
      <formula>"Propuesta"</formula>
    </cfRule>
    <cfRule type="cellIs" priority="5" operator="equal" dxfId="4">
      <formula>"Ganado"</formula>
    </cfRule>
    <cfRule type="cellIs" priority="6" operator="equal" dxfId="5">
      <formula>"Perdido"</formula>
    </cfRule>
  </conditionalFormatting>
  <dataValidations count="4">
    <dataValidation sqref="E2:E131" showDropDown="0" showInputMessage="0" showErrorMessage="0" allowBlank="1" type="list">
      <formula1>"Waffle,Banana Split,Helado Soft,Sundae,Helado con Queso,Tulipán con Queso"</formula1>
    </dataValidation>
    <dataValidation sqref="G2:G131" showDropDown="0" showInputMessage="0" showErrorMessage="0" allowBlank="1" type="list">
      <formula1>"Nuevo Lead,Contactado,Interesado,Propuesta,Ganado,Perdido"</formula1>
    </dataValidation>
    <dataValidation sqref="H2:H131" showDropDown="0" showInputMessage="0" showErrorMessage="0" allowBlank="1" type="list">
      <formula1>"Facebook,Instagram,TikTok,WhatsApp,Referido,Google"</formula1>
    </dataValidation>
    <dataValidation sqref="I2:I131" showDropDown="0" showInputMessage="0" showErrorMessage="0" allowBlank="1" type="list">
      <formula1>"Alta,Media,Baja"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cols>
    <col width="16" customWidth="1" min="22" max="22"/>
    <col width="16" customWidth="1" min="23" max="23"/>
    <col width="16" customWidth="1" min="25" max="25"/>
    <col width="16" customWidth="1" min="26" max="26"/>
    <col width="16" customWidth="1" min="28" max="28"/>
    <col width="16" customWidth="1" min="29" max="29"/>
    <col width="16" customWidth="1" min="31" max="31"/>
    <col width="16" customWidth="1" min="32" max="32"/>
  </cols>
  <sheetData>
    <row r="1">
      <c r="A1" s="5" t="inlineStr">
        <is>
          <t>Fantasías Heladas CRM</t>
        </is>
      </c>
      <c r="V1" s="6" t="inlineStr">
        <is>
          <t>Por Estado</t>
        </is>
      </c>
      <c r="Y1" s="6" t="inlineStr">
        <is>
          <t>Por Fuente</t>
        </is>
      </c>
      <c r="AB1" s="6" t="inlineStr">
        <is>
          <t>Por Producto</t>
        </is>
      </c>
      <c r="AE1" s="6" t="inlineStr">
        <is>
          <t>Por Mes</t>
        </is>
      </c>
    </row>
    <row r="2">
      <c r="A2" s="7" t="inlineStr">
        <is>
          <t>Resumen de clientes potenciales — valores en USD</t>
        </is>
      </c>
      <c r="V2" t="inlineStr">
        <is>
          <t>Estado</t>
        </is>
      </c>
      <c r="W2" t="inlineStr">
        <is>
          <t>Cantidad</t>
        </is>
      </c>
      <c r="Y2" t="inlineStr">
        <is>
          <t>Fuente</t>
        </is>
      </c>
      <c r="Z2" t="inlineStr">
        <is>
          <t>Cantidad</t>
        </is>
      </c>
      <c r="AB2" t="inlineStr">
        <is>
          <t>Producto</t>
        </is>
      </c>
      <c r="AC2" t="inlineStr">
        <is>
          <t>Cantidad</t>
        </is>
      </c>
      <c r="AE2" t="inlineStr">
        <is>
          <t>Mes</t>
        </is>
      </c>
      <c r="AF2" t="inlineStr">
        <is>
          <t>Cantidad</t>
        </is>
      </c>
    </row>
    <row r="3">
      <c r="B3" s="8" t="inlineStr">
        <is>
          <t>Total Leads</t>
        </is>
      </c>
      <c r="D3" s="8" t="inlineStr">
        <is>
          <t>Valor Pipeline</t>
        </is>
      </c>
      <c r="F3" s="8" t="inlineStr">
        <is>
          <t>Ingresos Ganados</t>
        </is>
      </c>
      <c r="H3" s="8" t="inlineStr">
        <is>
          <t>Tasa de Conversión</t>
        </is>
      </c>
      <c r="V3" t="inlineStr">
        <is>
          <t>Nuevo Lead</t>
        </is>
      </c>
      <c r="W3">
        <f>COUNTIF(Leads!G$2:G$131,V3)</f>
        <v/>
      </c>
      <c r="Y3" t="inlineStr">
        <is>
          <t>Facebook</t>
        </is>
      </c>
      <c r="Z3">
        <f>COUNTIF(Leads!H$2:H$131,Y3)</f>
        <v/>
      </c>
      <c r="AB3" t="inlineStr">
        <is>
          <t>Waffle</t>
        </is>
      </c>
      <c r="AC3">
        <f>COUNTIF(Leads!E$2:E$131,AB3)</f>
        <v/>
      </c>
      <c r="AE3" t="inlineStr">
        <is>
          <t>2026-01</t>
        </is>
      </c>
      <c r="AF3">
        <f>SUMPRODUCT((TEXT(Leads!B$2:B$131,"yyyy-mm")=AE3)*1)</f>
        <v/>
      </c>
    </row>
    <row r="4">
      <c r="B4" s="9">
        <f>COUNTA(Leads!C2:C131)</f>
        <v/>
      </c>
      <c r="D4" s="10">
        <f>SUMIFS(Leads!F2:F131,Leads!G2:G131,"&lt;&gt;Ganado",Leads!G2:G131,"&lt;&gt;Perdido")</f>
        <v/>
      </c>
      <c r="F4" s="10">
        <f>SUMIFS(Leads!F2:F131,Leads!G2:G131,"Ganado")</f>
        <v/>
      </c>
      <c r="H4" s="11">
        <f>COUNTIF(Leads!G2:G131,"Ganado")/(COUNTIF(Leads!G2:G131,"Ganado")+COUNTIF(Leads!G2:G131,"Perdido"))</f>
        <v/>
      </c>
      <c r="V4" t="inlineStr">
        <is>
          <t>Contactado</t>
        </is>
      </c>
      <c r="W4">
        <f>COUNTIF(Leads!G$2:G$131,V4)</f>
        <v/>
      </c>
      <c r="Y4" t="inlineStr">
        <is>
          <t>Instagram</t>
        </is>
      </c>
      <c r="Z4">
        <f>COUNTIF(Leads!H$2:H$131,Y4)</f>
        <v/>
      </c>
      <c r="AB4" t="inlineStr">
        <is>
          <t>Banana Split</t>
        </is>
      </c>
      <c r="AC4">
        <f>COUNTIF(Leads!E$2:E$131,AB4)</f>
        <v/>
      </c>
      <c r="AE4" t="inlineStr">
        <is>
          <t>2026-02</t>
        </is>
      </c>
      <c r="AF4">
        <f>SUMPRODUCT((TEXT(Leads!B$2:B$131,"yyyy-mm")=AE4)*1)</f>
        <v/>
      </c>
    </row>
    <row r="5">
      <c r="V5" t="inlineStr">
        <is>
          <t>Interesado</t>
        </is>
      </c>
      <c r="W5">
        <f>COUNTIF(Leads!G$2:G$131,V5)</f>
        <v/>
      </c>
      <c r="Y5" t="inlineStr">
        <is>
          <t>TikTok</t>
        </is>
      </c>
      <c r="Z5">
        <f>COUNTIF(Leads!H$2:H$131,Y5)</f>
        <v/>
      </c>
      <c r="AB5" t="inlineStr">
        <is>
          <t>Helado Soft</t>
        </is>
      </c>
      <c r="AC5">
        <f>COUNTIF(Leads!E$2:E$131,AB5)</f>
        <v/>
      </c>
      <c r="AE5" t="inlineStr">
        <is>
          <t>2026-03</t>
        </is>
      </c>
      <c r="AF5">
        <f>SUMPRODUCT((TEXT(Leads!B$2:B$131,"yyyy-mm")=AE5)*1)</f>
        <v/>
      </c>
    </row>
    <row r="6">
      <c r="V6" t="inlineStr">
        <is>
          <t>Propuesta</t>
        </is>
      </c>
      <c r="W6">
        <f>COUNTIF(Leads!G$2:G$131,V6)</f>
        <v/>
      </c>
      <c r="Y6" t="inlineStr">
        <is>
          <t>WhatsApp</t>
        </is>
      </c>
      <c r="Z6">
        <f>COUNTIF(Leads!H$2:H$131,Y6)</f>
        <v/>
      </c>
      <c r="AB6" t="inlineStr">
        <is>
          <t>Sundae</t>
        </is>
      </c>
      <c r="AC6">
        <f>COUNTIF(Leads!E$2:E$131,AB6)</f>
        <v/>
      </c>
      <c r="AE6" t="inlineStr">
        <is>
          <t>2026-04</t>
        </is>
      </c>
      <c r="AF6">
        <f>SUMPRODUCT((TEXT(Leads!B$2:B$131,"yyyy-mm")=AE6)*1)</f>
        <v/>
      </c>
    </row>
    <row r="7">
      <c r="V7" t="inlineStr">
        <is>
          <t>Ganado</t>
        </is>
      </c>
      <c r="W7">
        <f>COUNTIF(Leads!G$2:G$131,V7)</f>
        <v/>
      </c>
      <c r="Y7" t="inlineStr">
        <is>
          <t>Referido</t>
        </is>
      </c>
      <c r="Z7">
        <f>COUNTIF(Leads!H$2:H$131,Y7)</f>
        <v/>
      </c>
      <c r="AB7" t="inlineStr">
        <is>
          <t>Helado con Queso</t>
        </is>
      </c>
      <c r="AC7">
        <f>COUNTIF(Leads!E$2:E$131,AB7)</f>
        <v/>
      </c>
      <c r="AE7" t="inlineStr">
        <is>
          <t>2026-05</t>
        </is>
      </c>
      <c r="AF7">
        <f>SUMPRODUCT((TEXT(Leads!B$2:B$131,"yyyy-mm")=AE7)*1)</f>
        <v/>
      </c>
    </row>
    <row r="8">
      <c r="V8" t="inlineStr">
        <is>
          <t>Perdido</t>
        </is>
      </c>
      <c r="W8">
        <f>COUNTIF(Leads!G$2:G$131,V8)</f>
        <v/>
      </c>
      <c r="Y8" t="inlineStr">
        <is>
          <t>Google</t>
        </is>
      </c>
      <c r="Z8">
        <f>COUNTIF(Leads!H$2:H$131,Y8)</f>
        <v/>
      </c>
      <c r="AB8" t="inlineStr">
        <is>
          <t>Tulipán con Queso</t>
        </is>
      </c>
      <c r="AC8">
        <f>COUNTIF(Leads!E$2:E$131,AB8)</f>
        <v/>
      </c>
      <c r="AE8" t="inlineStr">
        <is>
          <t>2026-06</t>
        </is>
      </c>
      <c r="AF8">
        <f>SUMPRODUCT((TEXT(Leads!B$2:B$131,"yyyy-mm")=AE8)*1)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2026-06-25T04:52:26Z</dcterms:created>
  <dcterms:modified xmlns:dcterms="http://purl.org/dc/terms/" xmlns:xsi="http://www.w3.org/2001/XMLSchema-instance" xsi:type="dcterms:W3CDTF">2026-06-25T04:52:26Z</dcterms:modified>
</cp:coreProperties>
</file>